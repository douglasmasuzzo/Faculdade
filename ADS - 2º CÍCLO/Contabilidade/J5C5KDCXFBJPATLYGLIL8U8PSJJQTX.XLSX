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dows 10\Desktop\"/>
    </mc:Choice>
  </mc:AlternateContent>
  <bookViews>
    <workbookView xWindow="0" yWindow="0" windowWidth="16815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1" l="1"/>
  <c r="H40" i="1"/>
  <c r="H41" i="1"/>
  <c r="H42" i="1"/>
  <c r="H43" i="1"/>
  <c r="H51" i="1"/>
  <c r="G51" i="1"/>
  <c r="G42" i="1"/>
  <c r="G43" i="1"/>
  <c r="G41" i="1"/>
  <c r="G40" i="1"/>
  <c r="G39" i="1"/>
  <c r="D50" i="1"/>
  <c r="C50" i="1"/>
  <c r="D49" i="1"/>
  <c r="C49" i="1"/>
  <c r="D48" i="1"/>
  <c r="C48" i="1"/>
  <c r="D47" i="1"/>
  <c r="C47" i="1"/>
  <c r="D46" i="1"/>
  <c r="D41" i="1"/>
  <c r="C46" i="1"/>
  <c r="D42" i="1"/>
  <c r="D54" i="1" s="1"/>
  <c r="C42" i="1"/>
  <c r="C41" i="1"/>
  <c r="D40" i="1"/>
  <c r="C40" i="1"/>
  <c r="D39" i="1"/>
  <c r="C39" i="1"/>
  <c r="H6" i="1"/>
  <c r="H8" i="1" s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H15" i="1" s="1"/>
  <c r="G16" i="1"/>
  <c r="H11" i="1"/>
  <c r="H9" i="1" s="1"/>
  <c r="H10" i="1"/>
  <c r="G11" i="1"/>
  <c r="G10" i="1"/>
  <c r="H7" i="1"/>
  <c r="H5" i="1"/>
  <c r="H4" i="1"/>
  <c r="H27" i="1" l="1"/>
  <c r="H28" i="1" l="1"/>
  <c r="H44" i="1" s="1"/>
  <c r="H54" i="1" l="1"/>
  <c r="H29" i="1"/>
  <c r="H52" i="1" s="1"/>
</calcChain>
</file>

<file path=xl/sharedStrings.xml><?xml version="1.0" encoding="utf-8"?>
<sst xmlns="http://schemas.openxmlformats.org/spreadsheetml/2006/main" count="85" uniqueCount="58">
  <si>
    <t>NOMENCLATURA</t>
  </si>
  <si>
    <t>D</t>
  </si>
  <si>
    <t>C</t>
  </si>
  <si>
    <t>Caixa</t>
  </si>
  <si>
    <t>Banco do Brasil S.A.</t>
  </si>
  <si>
    <t>Estoques</t>
  </si>
  <si>
    <t>Veículos</t>
  </si>
  <si>
    <t>Depreciação acumulada</t>
  </si>
  <si>
    <t>Máquinas e equipamentos</t>
  </si>
  <si>
    <t>Móveis e utensílios</t>
  </si>
  <si>
    <t>Fornecedores</t>
  </si>
  <si>
    <t>Salários a pagar</t>
  </si>
  <si>
    <t>Manutenção</t>
  </si>
  <si>
    <t>Juros Ativo</t>
  </si>
  <si>
    <t>Comissão</t>
  </si>
  <si>
    <t>Energia Elétrica</t>
  </si>
  <si>
    <t>Encargos Sociais a Recolher</t>
  </si>
  <si>
    <t>ICMS a recolher</t>
  </si>
  <si>
    <t>Capital social</t>
  </si>
  <si>
    <t>Vendas</t>
  </si>
  <si>
    <t>Rendimento</t>
  </si>
  <si>
    <t>ICMS sobre vendas</t>
  </si>
  <si>
    <t>CMV</t>
  </si>
  <si>
    <t>Salários</t>
  </si>
  <si>
    <t>Juros Passivo</t>
  </si>
  <si>
    <t xml:space="preserve"> FGTS</t>
  </si>
  <si>
    <t xml:space="preserve"> Depreciação</t>
  </si>
  <si>
    <t>Imóvel</t>
  </si>
  <si>
    <t xml:space="preserve"> Financiamento</t>
  </si>
  <si>
    <t>Clientes</t>
  </si>
  <si>
    <t>NATUREZA</t>
  </si>
  <si>
    <t>BP</t>
  </si>
  <si>
    <t>dre</t>
  </si>
  <si>
    <t>TOTAL</t>
  </si>
  <si>
    <t>DEMONSTRAÇÃO DO RESULTADO DO EXERCÍCIO</t>
  </si>
  <si>
    <t>(=) Receita Líquida</t>
  </si>
  <si>
    <t xml:space="preserve">(-)  CMV </t>
  </si>
  <si>
    <t>(=) Lucro Bruto</t>
  </si>
  <si>
    <t>(=) Resultado Antes IRPJ CSLL</t>
  </si>
  <si>
    <t>(-) Provisões IRPJ E CSLL</t>
  </si>
  <si>
    <t>(=) Resultado Líquido.</t>
  </si>
  <si>
    <t>Receita Bruta  (vendas)</t>
  </si>
  <si>
    <t>(-) Deduções e abatimentos (ICMS S/Vendas)</t>
  </si>
  <si>
    <t>(+) Receitas (dinheiro que entra sem esforço)</t>
  </si>
  <si>
    <t>(-) Despesas  (dinheiro gasto sem retorno)</t>
  </si>
  <si>
    <t>BALANÇO PATRIMONIAL</t>
  </si>
  <si>
    <t>ATIVO</t>
  </si>
  <si>
    <t>Imobilizado (bens de uso e a perda de valor pelo uso)</t>
  </si>
  <si>
    <t>( - )</t>
  </si>
  <si>
    <r>
      <rPr>
        <b/>
        <sz val="14"/>
        <color theme="1"/>
        <rFont val="Calibri"/>
        <family val="2"/>
        <scheme val="minor"/>
      </rPr>
      <t>CIRCULANTE</t>
    </r>
    <r>
      <rPr>
        <sz val="11"/>
        <color theme="1"/>
        <rFont val="Calibri"/>
        <family val="2"/>
        <scheme val="minor"/>
      </rPr>
      <t xml:space="preserve"> (Capital de Giro) Tudo que vira dinheiro rapidamente</t>
    </r>
  </si>
  <si>
    <r>
      <rPr>
        <b/>
        <sz val="14"/>
        <color theme="1"/>
        <rFont val="Calibri"/>
        <family val="2"/>
        <scheme val="minor"/>
      </rPr>
      <t>NÃO CIRCULANTE</t>
    </r>
    <r>
      <rPr>
        <sz val="11"/>
        <color theme="1"/>
        <rFont val="Calibri"/>
        <family val="2"/>
        <scheme val="minor"/>
      </rPr>
      <t xml:space="preserve"> (Valores investidos com retorno a longo prazo)</t>
    </r>
  </si>
  <si>
    <t>PASSIVO</t>
  </si>
  <si>
    <r>
      <rPr>
        <b/>
        <sz val="14"/>
        <color theme="1"/>
        <rFont val="Calibri"/>
        <family val="2"/>
        <scheme val="minor"/>
      </rPr>
      <t xml:space="preserve">CIRCULANTE </t>
    </r>
    <r>
      <rPr>
        <sz val="11"/>
        <color theme="1"/>
        <rFont val="Calibri"/>
        <family val="2"/>
        <scheme val="minor"/>
      </rPr>
      <t xml:space="preserve">(dívidas que vencem dentro do ano) não esquecetr do sócio invisível </t>
    </r>
  </si>
  <si>
    <t>Provisões IRPJ e CSLL</t>
  </si>
  <si>
    <t>Nesta atividade não tem, mas quem colocar o Financiamento, não posso considerar errado.</t>
  </si>
  <si>
    <r>
      <rPr>
        <b/>
        <sz val="14"/>
        <color theme="1"/>
        <rFont val="Calibri"/>
        <family val="2"/>
        <scheme val="minor"/>
      </rPr>
      <t>PATRIMÔNIO LÍQUIDO</t>
    </r>
    <r>
      <rPr>
        <sz val="11"/>
        <color theme="1"/>
        <rFont val="Calibri"/>
        <family val="2"/>
        <scheme val="minor"/>
      </rPr>
      <t xml:space="preserve"> (tudo que pertence aos sócios)</t>
    </r>
  </si>
  <si>
    <t>Reserva de Lucro ( resultado final da DRE)</t>
  </si>
  <si>
    <r>
      <rPr>
        <b/>
        <sz val="14"/>
        <color theme="1"/>
        <rFont val="Calibri"/>
        <family val="2"/>
        <scheme val="minor"/>
      </rPr>
      <t>NÃO CIRCULANTE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(dívidas que vencerão nos anos seguintes - terão o complemento A LONGO PRAZO)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</si>
</sst>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2"/>
      <name val="Arial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6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indent="1"/>
    </xf>
    <xf numFmtId="0" fontId="6" fillId="2" borderId="5" xfId="0" applyFont="1" applyFill="1" applyBorder="1" applyAlignment="1">
      <alignment horizontal="left" vertical="center" wrapText="1" indent="1"/>
    </xf>
    <xf numFmtId="44" fontId="3" fillId="0" borderId="3" xfId="1" applyFont="1" applyBorder="1" applyAlignment="1">
      <alignment horizontal="right" vertical="center" wrapText="1"/>
    </xf>
    <xf numFmtId="44" fontId="3" fillId="0" borderId="3" xfId="1" applyFont="1" applyBorder="1" applyAlignment="1">
      <alignment vertical="center" wrapText="1"/>
    </xf>
    <xf numFmtId="44" fontId="3" fillId="0" borderId="4" xfId="1" applyFont="1" applyBorder="1" applyAlignment="1">
      <alignment horizontal="right" vertical="center" wrapText="1"/>
    </xf>
    <xf numFmtId="44" fontId="3" fillId="0" borderId="2" xfId="1" applyFont="1" applyBorder="1" applyAlignment="1">
      <alignment horizontal="right" vertical="center" wrapText="1"/>
    </xf>
    <xf numFmtId="44" fontId="3" fillId="0" borderId="2" xfId="1" applyFont="1" applyBorder="1" applyAlignment="1">
      <alignment vertical="center" wrapText="1"/>
    </xf>
    <xf numFmtId="44" fontId="3" fillId="0" borderId="6" xfId="1" applyFont="1" applyBorder="1" applyAlignment="1">
      <alignment vertical="center" wrapText="1"/>
    </xf>
    <xf numFmtId="44" fontId="3" fillId="0" borderId="6" xfId="1" applyFont="1" applyBorder="1" applyAlignment="1">
      <alignment horizontal="right" vertical="center" wrapText="1"/>
    </xf>
    <xf numFmtId="44" fontId="7" fillId="0" borderId="6" xfId="1" applyFont="1" applyBorder="1" applyAlignment="1">
      <alignment vertical="center"/>
    </xf>
    <xf numFmtId="44" fontId="7" fillId="2" borderId="6" xfId="1" applyFont="1" applyFill="1" applyBorder="1" applyAlignment="1">
      <alignment vertical="center"/>
    </xf>
    <xf numFmtId="44" fontId="3" fillId="0" borderId="6" xfId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0" xfId="0" applyBorder="1"/>
    <xf numFmtId="0" fontId="3" fillId="0" borderId="11" xfId="0" applyFont="1" applyBorder="1" applyAlignment="1">
      <alignment vertical="center" wrapText="1"/>
    </xf>
    <xf numFmtId="44" fontId="3" fillId="0" borderId="11" xfId="1" applyFont="1" applyBorder="1" applyAlignment="1">
      <alignment horizontal="right" vertical="center" wrapText="1"/>
    </xf>
    <xf numFmtId="44" fontId="3" fillId="0" borderId="12" xfId="1" applyFont="1" applyBorder="1" applyAlignment="1">
      <alignment vertical="center" wrapText="1"/>
    </xf>
    <xf numFmtId="0" fontId="0" fillId="0" borderId="13" xfId="0" applyBorder="1"/>
    <xf numFmtId="44" fontId="3" fillId="0" borderId="14" xfId="1" applyFont="1" applyBorder="1" applyAlignment="1">
      <alignment vertical="center" wrapText="1"/>
    </xf>
    <xf numFmtId="44" fontId="3" fillId="0" borderId="14" xfId="1" applyFont="1" applyBorder="1" applyAlignment="1">
      <alignment horizontal="right" vertical="center" wrapText="1"/>
    </xf>
    <xf numFmtId="44" fontId="3" fillId="0" borderId="15" xfId="1" applyFont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0" fillId="0" borderId="0" xfId="0" applyBorder="1"/>
    <xf numFmtId="0" fontId="0" fillId="0" borderId="15" xfId="0" applyBorder="1"/>
    <xf numFmtId="44" fontId="0" fillId="0" borderId="0" xfId="1" applyFont="1" applyBorder="1"/>
    <xf numFmtId="44" fontId="0" fillId="0" borderId="0" xfId="0" applyNumberFormat="1" applyBorder="1"/>
    <xf numFmtId="0" fontId="8" fillId="0" borderId="17" xfId="0" applyFont="1" applyBorder="1"/>
    <xf numFmtId="44" fontId="8" fillId="0" borderId="0" xfId="1" applyFont="1" applyBorder="1"/>
    <xf numFmtId="0" fontId="9" fillId="0" borderId="0" xfId="0" applyFont="1" applyBorder="1"/>
    <xf numFmtId="44" fontId="9" fillId="0" borderId="0" xfId="0" applyNumberFormat="1" applyFont="1" applyBorder="1"/>
    <xf numFmtId="0" fontId="0" fillId="0" borderId="18" xfId="0" applyBorder="1"/>
    <xf numFmtId="0" fontId="0" fillId="0" borderId="6" xfId="0" applyBorder="1"/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0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7"/>
  <sheetViews>
    <sheetView tabSelected="1" topLeftCell="A37" workbookViewId="0">
      <selection activeCell="H57" sqref="H57"/>
    </sheetView>
  </sheetViews>
  <sheetFormatPr defaultRowHeight="15" x14ac:dyDescent="0.25"/>
  <cols>
    <col min="1" max="1" width="2.42578125" customWidth="1"/>
    <col min="2" max="2" width="6.5703125" customWidth="1"/>
    <col min="3" max="3" width="37.85546875" customWidth="1"/>
    <col min="4" max="4" width="21.7109375" customWidth="1"/>
    <col min="5" max="5" width="16.42578125" customWidth="1"/>
    <col min="6" max="6" width="5.140625" customWidth="1"/>
    <col min="7" max="7" width="52.7109375" customWidth="1"/>
    <col min="8" max="8" width="24.28515625" customWidth="1"/>
  </cols>
  <sheetData>
    <row r="2" spans="2:8" ht="15.75" thickBot="1" x14ac:dyDescent="0.3"/>
    <row r="3" spans="2:8" ht="30.75" customHeight="1" thickBot="1" x14ac:dyDescent="0.3">
      <c r="B3" s="24" t="s">
        <v>30</v>
      </c>
      <c r="C3" s="1" t="s">
        <v>0</v>
      </c>
      <c r="D3" s="1" t="s">
        <v>1</v>
      </c>
      <c r="E3" s="1" t="s">
        <v>2</v>
      </c>
      <c r="G3" s="22" t="s">
        <v>34</v>
      </c>
      <c r="H3" s="23"/>
    </row>
    <row r="4" spans="2:8" ht="20.100000000000001" customHeight="1" thickBot="1" x14ac:dyDescent="0.3">
      <c r="B4" s="25" t="s">
        <v>31</v>
      </c>
      <c r="C4" s="26" t="s">
        <v>3</v>
      </c>
      <c r="D4" s="27">
        <v>20725.599999999999</v>
      </c>
      <c r="E4" s="28"/>
      <c r="G4" s="8" t="s">
        <v>41</v>
      </c>
      <c r="H4" s="18">
        <f>E20</f>
        <v>685752</v>
      </c>
    </row>
    <row r="5" spans="2:8" ht="20.100000000000001" customHeight="1" thickBot="1" x14ac:dyDescent="0.3">
      <c r="B5" s="29" t="s">
        <v>31</v>
      </c>
      <c r="C5" s="2" t="s">
        <v>4</v>
      </c>
      <c r="D5" s="11">
        <v>350000</v>
      </c>
      <c r="E5" s="30"/>
      <c r="G5" s="8" t="s">
        <v>42</v>
      </c>
      <c r="H5" s="18">
        <f>D22</f>
        <v>110500</v>
      </c>
    </row>
    <row r="6" spans="2:8" ht="20.100000000000001" customHeight="1" thickBot="1" x14ac:dyDescent="0.3">
      <c r="B6" s="29" t="s">
        <v>31</v>
      </c>
      <c r="C6" s="2" t="s">
        <v>5</v>
      </c>
      <c r="D6" s="11">
        <v>9950</v>
      </c>
      <c r="E6" s="30"/>
      <c r="G6" s="10" t="s">
        <v>35</v>
      </c>
      <c r="H6" s="19">
        <f>H4-H5</f>
        <v>575252</v>
      </c>
    </row>
    <row r="7" spans="2:8" ht="20.100000000000001" customHeight="1" thickBot="1" x14ac:dyDescent="0.3">
      <c r="B7" s="29" t="s">
        <v>31</v>
      </c>
      <c r="C7" s="2" t="s">
        <v>6</v>
      </c>
      <c r="D7" s="11">
        <v>70000</v>
      </c>
      <c r="E7" s="30"/>
      <c r="G7" s="8" t="s">
        <v>36</v>
      </c>
      <c r="H7" s="18">
        <f>D23</f>
        <v>202000</v>
      </c>
    </row>
    <row r="8" spans="2:8" ht="20.100000000000001" customHeight="1" thickBot="1" x14ac:dyDescent="0.3">
      <c r="B8" s="29" t="s">
        <v>31</v>
      </c>
      <c r="C8" s="2" t="s">
        <v>7</v>
      </c>
      <c r="D8" s="12"/>
      <c r="E8" s="31">
        <v>23228.6</v>
      </c>
      <c r="G8" s="10" t="s">
        <v>37</v>
      </c>
      <c r="H8" s="19">
        <f>H6-H7</f>
        <v>373252</v>
      </c>
    </row>
    <row r="9" spans="2:8" ht="20.100000000000001" customHeight="1" thickBot="1" x14ac:dyDescent="0.3">
      <c r="B9" s="29" t="s">
        <v>31</v>
      </c>
      <c r="C9" s="2" t="s">
        <v>8</v>
      </c>
      <c r="D9" s="11">
        <v>117340</v>
      </c>
      <c r="E9" s="30"/>
      <c r="G9" s="9" t="s">
        <v>43</v>
      </c>
      <c r="H9" s="19">
        <f>SUM(H10:H11)</f>
        <v>22850</v>
      </c>
    </row>
    <row r="10" spans="2:8" ht="20.100000000000001" customHeight="1" thickBot="1" x14ac:dyDescent="0.3">
      <c r="B10" s="29" t="s">
        <v>31</v>
      </c>
      <c r="C10" s="2" t="s">
        <v>9</v>
      </c>
      <c r="D10" s="11">
        <v>200000</v>
      </c>
      <c r="E10" s="30"/>
      <c r="G10" s="8" t="str">
        <f>C14</f>
        <v>Juros Ativo</v>
      </c>
      <c r="H10" s="18">
        <f>E14</f>
        <v>3850</v>
      </c>
    </row>
    <row r="11" spans="2:8" ht="20.100000000000001" customHeight="1" thickBot="1" x14ac:dyDescent="0.3">
      <c r="B11" s="29" t="s">
        <v>31</v>
      </c>
      <c r="C11" s="2" t="s">
        <v>10</v>
      </c>
      <c r="D11" s="12"/>
      <c r="E11" s="31">
        <v>110000</v>
      </c>
      <c r="G11" s="8" t="str">
        <f>C21</f>
        <v>Rendimento</v>
      </c>
      <c r="H11" s="18">
        <f>E21</f>
        <v>19000</v>
      </c>
    </row>
    <row r="12" spans="2:8" ht="20.100000000000001" customHeight="1" thickBot="1" x14ac:dyDescent="0.3">
      <c r="B12" s="29" t="s">
        <v>31</v>
      </c>
      <c r="C12" s="2" t="s">
        <v>11</v>
      </c>
      <c r="D12" s="12"/>
      <c r="E12" s="31">
        <v>10000</v>
      </c>
      <c r="G12" s="8"/>
      <c r="H12" s="18"/>
    </row>
    <row r="13" spans="2:8" ht="20.100000000000001" customHeight="1" thickBot="1" x14ac:dyDescent="0.3">
      <c r="B13" s="29" t="s">
        <v>32</v>
      </c>
      <c r="C13" s="2" t="s">
        <v>12</v>
      </c>
      <c r="D13" s="11">
        <v>8700</v>
      </c>
      <c r="E13" s="30"/>
      <c r="G13" s="8"/>
      <c r="H13" s="18"/>
    </row>
    <row r="14" spans="2:8" ht="20.100000000000001" customHeight="1" thickBot="1" x14ac:dyDescent="0.3">
      <c r="B14" s="29" t="s">
        <v>32</v>
      </c>
      <c r="C14" s="2" t="s">
        <v>13</v>
      </c>
      <c r="D14" s="12"/>
      <c r="E14" s="31">
        <v>3850</v>
      </c>
      <c r="G14" s="8"/>
      <c r="H14" s="18"/>
    </row>
    <row r="15" spans="2:8" ht="20.100000000000001" customHeight="1" thickBot="1" x14ac:dyDescent="0.3">
      <c r="B15" s="29" t="s">
        <v>32</v>
      </c>
      <c r="C15" s="2" t="s">
        <v>14</v>
      </c>
      <c r="D15" s="11">
        <v>8980</v>
      </c>
      <c r="E15" s="30"/>
      <c r="G15" s="8" t="s">
        <v>44</v>
      </c>
      <c r="H15" s="19">
        <f>SUM(H16:H22)</f>
        <v>120040</v>
      </c>
    </row>
    <row r="16" spans="2:8" ht="20.100000000000001" customHeight="1" thickBot="1" x14ac:dyDescent="0.3">
      <c r="B16" s="29" t="s">
        <v>32</v>
      </c>
      <c r="C16" s="2" t="s">
        <v>15</v>
      </c>
      <c r="D16" s="11">
        <v>850</v>
      </c>
      <c r="E16" s="30"/>
      <c r="G16" s="8" t="str">
        <f>C13</f>
        <v>Manutenção</v>
      </c>
      <c r="H16" s="18">
        <f>D13</f>
        <v>8700</v>
      </c>
    </row>
    <row r="17" spans="2:8" ht="20.100000000000001" customHeight="1" thickBot="1" x14ac:dyDescent="0.3">
      <c r="B17" s="29" t="s">
        <v>31</v>
      </c>
      <c r="C17" s="2" t="s">
        <v>16</v>
      </c>
      <c r="D17" s="12"/>
      <c r="E17" s="31">
        <v>2780</v>
      </c>
      <c r="G17" s="8" t="str">
        <f>C15</f>
        <v>Comissão</v>
      </c>
      <c r="H17" s="18">
        <f>D15</f>
        <v>8980</v>
      </c>
    </row>
    <row r="18" spans="2:8" ht="20.100000000000001" customHeight="1" thickBot="1" x14ac:dyDescent="0.3">
      <c r="B18" s="29" t="s">
        <v>31</v>
      </c>
      <c r="C18" s="2" t="s">
        <v>17</v>
      </c>
      <c r="D18" s="12"/>
      <c r="E18" s="31">
        <v>13349</v>
      </c>
      <c r="G18" s="8" t="str">
        <f>C16</f>
        <v>Energia Elétrica</v>
      </c>
      <c r="H18" s="18">
        <f>D16</f>
        <v>850</v>
      </c>
    </row>
    <row r="19" spans="2:8" ht="20.100000000000001" customHeight="1" thickBot="1" x14ac:dyDescent="0.3">
      <c r="B19" s="29" t="s">
        <v>31</v>
      </c>
      <c r="C19" s="2" t="s">
        <v>18</v>
      </c>
      <c r="D19" s="12"/>
      <c r="E19" s="31">
        <v>500000</v>
      </c>
      <c r="G19" s="8" t="str">
        <f>C24</f>
        <v>Salários</v>
      </c>
      <c r="H19" s="18">
        <f>D24</f>
        <v>80000</v>
      </c>
    </row>
    <row r="20" spans="2:8" ht="20.100000000000001" customHeight="1" thickBot="1" x14ac:dyDescent="0.3">
      <c r="B20" s="29" t="s">
        <v>32</v>
      </c>
      <c r="C20" s="2" t="s">
        <v>19</v>
      </c>
      <c r="D20" s="12"/>
      <c r="E20" s="31">
        <v>685752</v>
      </c>
      <c r="G20" s="8" t="str">
        <f>C25</f>
        <v>Juros Passivo</v>
      </c>
      <c r="H20" s="18">
        <f>D25</f>
        <v>8880</v>
      </c>
    </row>
    <row r="21" spans="2:8" ht="20.100000000000001" customHeight="1" thickBot="1" x14ac:dyDescent="0.3">
      <c r="B21" s="29" t="s">
        <v>32</v>
      </c>
      <c r="C21" s="2" t="s">
        <v>20</v>
      </c>
      <c r="D21" s="12"/>
      <c r="E21" s="31">
        <v>19000</v>
      </c>
      <c r="G21" s="8" t="str">
        <f>C26</f>
        <v xml:space="preserve"> FGTS</v>
      </c>
      <c r="H21" s="18">
        <f>D26</f>
        <v>7600</v>
      </c>
    </row>
    <row r="22" spans="2:8" ht="20.100000000000001" customHeight="1" thickBot="1" x14ac:dyDescent="0.3">
      <c r="B22" s="29" t="s">
        <v>32</v>
      </c>
      <c r="C22" s="2" t="s">
        <v>21</v>
      </c>
      <c r="D22" s="11">
        <v>110500</v>
      </c>
      <c r="E22" s="30"/>
      <c r="G22" s="8" t="str">
        <f>C27</f>
        <v xml:space="preserve"> Depreciação</v>
      </c>
      <c r="H22" s="18">
        <f>D27</f>
        <v>5030</v>
      </c>
    </row>
    <row r="23" spans="2:8" ht="20.100000000000001" customHeight="1" thickBot="1" x14ac:dyDescent="0.3">
      <c r="B23" s="29" t="s">
        <v>32</v>
      </c>
      <c r="C23" s="2" t="s">
        <v>22</v>
      </c>
      <c r="D23" s="11">
        <v>202000</v>
      </c>
      <c r="E23" s="30"/>
      <c r="G23" s="8"/>
      <c r="H23" s="18"/>
    </row>
    <row r="24" spans="2:8" ht="20.100000000000001" customHeight="1" thickBot="1" x14ac:dyDescent="0.3">
      <c r="B24" s="29" t="s">
        <v>32</v>
      </c>
      <c r="C24" s="2" t="s">
        <v>23</v>
      </c>
      <c r="D24" s="11">
        <v>80000</v>
      </c>
      <c r="E24" s="30"/>
      <c r="G24" s="8"/>
      <c r="H24" s="18"/>
    </row>
    <row r="25" spans="2:8" ht="20.100000000000001" customHeight="1" thickBot="1" x14ac:dyDescent="0.3">
      <c r="B25" s="29" t="s">
        <v>32</v>
      </c>
      <c r="C25" s="2" t="s">
        <v>24</v>
      </c>
      <c r="D25" s="11">
        <v>8880</v>
      </c>
      <c r="E25" s="30"/>
      <c r="G25" s="8"/>
      <c r="H25" s="18"/>
    </row>
    <row r="26" spans="2:8" ht="20.100000000000001" customHeight="1" thickBot="1" x14ac:dyDescent="0.3">
      <c r="B26" s="29" t="s">
        <v>32</v>
      </c>
      <c r="C26" s="2" t="s">
        <v>25</v>
      </c>
      <c r="D26" s="11">
        <v>7600</v>
      </c>
      <c r="E26" s="30"/>
      <c r="G26" s="8"/>
      <c r="H26" s="18"/>
    </row>
    <row r="27" spans="2:8" ht="20.100000000000001" customHeight="1" thickBot="1" x14ac:dyDescent="0.3">
      <c r="B27" s="29" t="s">
        <v>32</v>
      </c>
      <c r="C27" s="3" t="s">
        <v>26</v>
      </c>
      <c r="D27" s="13">
        <v>5030</v>
      </c>
      <c r="E27" s="32"/>
      <c r="G27" s="10" t="s">
        <v>38</v>
      </c>
      <c r="H27" s="19">
        <f>H8+H9-H15</f>
        <v>276062</v>
      </c>
    </row>
    <row r="28" spans="2:8" ht="20.100000000000001" customHeight="1" thickBot="1" x14ac:dyDescent="0.3">
      <c r="B28" s="29" t="s">
        <v>31</v>
      </c>
      <c r="C28" s="4" t="s">
        <v>27</v>
      </c>
      <c r="D28" s="14">
        <v>320000</v>
      </c>
      <c r="E28" s="15"/>
      <c r="G28" s="8" t="s">
        <v>39</v>
      </c>
      <c r="H28" s="18">
        <f>H27*0.24</f>
        <v>66254.880000000005</v>
      </c>
    </row>
    <row r="29" spans="2:8" ht="20.100000000000001" customHeight="1" thickBot="1" x14ac:dyDescent="0.3">
      <c r="B29" s="29" t="s">
        <v>31</v>
      </c>
      <c r="C29" s="5" t="s">
        <v>28</v>
      </c>
      <c r="D29" s="16"/>
      <c r="E29" s="17">
        <v>287596</v>
      </c>
      <c r="G29" s="10" t="s">
        <v>40</v>
      </c>
      <c r="H29" s="19">
        <f>H27-H28</f>
        <v>209807.12</v>
      </c>
    </row>
    <row r="30" spans="2:8" ht="20.100000000000001" customHeight="1" thickBot="1" x14ac:dyDescent="0.3">
      <c r="B30" s="29" t="s">
        <v>31</v>
      </c>
      <c r="C30" s="5" t="s">
        <v>29</v>
      </c>
      <c r="D30" s="17">
        <v>135000</v>
      </c>
      <c r="E30" s="16"/>
    </row>
    <row r="31" spans="2:8" ht="20.100000000000001" customHeight="1" thickBot="1" x14ac:dyDescent="0.3">
      <c r="B31" s="29"/>
      <c r="C31" s="5"/>
      <c r="D31" s="5"/>
      <c r="E31" s="5"/>
    </row>
    <row r="32" spans="2:8" ht="20.100000000000001" customHeight="1" thickBot="1" x14ac:dyDescent="0.3">
      <c r="B32" s="29"/>
      <c r="C32" s="5"/>
      <c r="D32" s="5"/>
      <c r="E32" s="5"/>
    </row>
    <row r="33" spans="2:9" ht="20.100000000000001" customHeight="1" thickBot="1" x14ac:dyDescent="0.3">
      <c r="B33" s="33"/>
      <c r="C33" s="6" t="s">
        <v>33</v>
      </c>
      <c r="D33" s="20">
        <v>1655555.6</v>
      </c>
      <c r="E33" s="20">
        <v>1655555.6</v>
      </c>
    </row>
    <row r="36" spans="2:9" ht="21.75" thickBot="1" x14ac:dyDescent="0.4">
      <c r="B36" s="21" t="s">
        <v>45</v>
      </c>
      <c r="C36" s="21"/>
      <c r="D36" s="21"/>
      <c r="E36" s="21"/>
      <c r="F36" s="21"/>
      <c r="G36" s="21"/>
      <c r="H36" s="21"/>
      <c r="I36" s="21"/>
    </row>
    <row r="37" spans="2:9" ht="21.75" thickBot="1" x14ac:dyDescent="0.4">
      <c r="B37" s="45" t="s">
        <v>46</v>
      </c>
      <c r="C37" s="46"/>
      <c r="D37" s="46"/>
      <c r="E37" s="46"/>
      <c r="F37" s="46" t="s">
        <v>51</v>
      </c>
      <c r="G37" s="46"/>
      <c r="H37" s="46"/>
      <c r="I37" s="47"/>
    </row>
    <row r="38" spans="2:9" ht="18.75" x14ac:dyDescent="0.3">
      <c r="B38" s="34"/>
      <c r="C38" s="35" t="s">
        <v>49</v>
      </c>
      <c r="D38" s="35"/>
      <c r="E38" s="35"/>
      <c r="F38" s="35"/>
      <c r="G38" s="35" t="s">
        <v>52</v>
      </c>
      <c r="H38" s="35"/>
      <c r="I38" s="36"/>
    </row>
    <row r="39" spans="2:9" x14ac:dyDescent="0.25">
      <c r="B39" s="34"/>
      <c r="C39" s="35" t="str">
        <f>C4</f>
        <v>Caixa</v>
      </c>
      <c r="D39" s="37">
        <f>D4</f>
        <v>20725.599999999999</v>
      </c>
      <c r="E39" s="35"/>
      <c r="F39" s="35"/>
      <c r="G39" s="35" t="str">
        <f>C11</f>
        <v>Fornecedores</v>
      </c>
      <c r="H39" s="38">
        <f>E11</f>
        <v>110000</v>
      </c>
      <c r="I39" s="36"/>
    </row>
    <row r="40" spans="2:9" x14ac:dyDescent="0.25">
      <c r="B40" s="34"/>
      <c r="C40" s="35" t="str">
        <f>C5</f>
        <v>Banco do Brasil S.A.</v>
      </c>
      <c r="D40" s="37">
        <f>D5</f>
        <v>350000</v>
      </c>
      <c r="E40" s="35"/>
      <c r="F40" s="35"/>
      <c r="G40" s="35" t="str">
        <f>C12</f>
        <v>Salários a pagar</v>
      </c>
      <c r="H40" s="38">
        <f>E12</f>
        <v>10000</v>
      </c>
      <c r="I40" s="36"/>
    </row>
    <row r="41" spans="2:9" x14ac:dyDescent="0.25">
      <c r="B41" s="34"/>
      <c r="C41" s="35" t="str">
        <f>C6</f>
        <v>Estoques</v>
      </c>
      <c r="D41" s="37">
        <f>D6</f>
        <v>9950</v>
      </c>
      <c r="E41" s="35"/>
      <c r="F41" s="35"/>
      <c r="G41" s="35" t="str">
        <f>C17</f>
        <v>Encargos Sociais a Recolher</v>
      </c>
      <c r="H41" s="38">
        <f>E17</f>
        <v>2780</v>
      </c>
      <c r="I41" s="36"/>
    </row>
    <row r="42" spans="2:9" x14ac:dyDescent="0.25">
      <c r="B42" s="34"/>
      <c r="C42" s="35" t="str">
        <f>C30</f>
        <v>Clientes</v>
      </c>
      <c r="D42" s="37">
        <f>D30</f>
        <v>135000</v>
      </c>
      <c r="E42" s="35"/>
      <c r="F42" s="35"/>
      <c r="G42" s="35" t="str">
        <f>C18</f>
        <v>ICMS a recolher</v>
      </c>
      <c r="H42" s="38">
        <f>E18</f>
        <v>13349</v>
      </c>
      <c r="I42" s="36"/>
    </row>
    <row r="43" spans="2:9" x14ac:dyDescent="0.25">
      <c r="B43" s="34"/>
      <c r="C43" s="35"/>
      <c r="D43" s="35"/>
      <c r="E43" s="35"/>
      <c r="F43" s="35"/>
      <c r="G43" s="35" t="str">
        <f>C29</f>
        <v xml:space="preserve"> Financiamento</v>
      </c>
      <c r="H43" s="38">
        <f>E29</f>
        <v>287596</v>
      </c>
      <c r="I43" s="36"/>
    </row>
    <row r="44" spans="2:9" ht="18.75" x14ac:dyDescent="0.3">
      <c r="B44" s="34"/>
      <c r="C44" s="35" t="s">
        <v>50</v>
      </c>
      <c r="D44" s="35"/>
      <c r="E44" s="35"/>
      <c r="F44" s="35"/>
      <c r="G44" s="35" t="s">
        <v>53</v>
      </c>
      <c r="H44" s="38">
        <f>H28</f>
        <v>66254.880000000005</v>
      </c>
      <c r="I44" s="36"/>
    </row>
    <row r="45" spans="2:9" x14ac:dyDescent="0.25">
      <c r="B45" s="34"/>
      <c r="C45" s="35" t="s">
        <v>47</v>
      </c>
      <c r="D45" s="35"/>
      <c r="E45" s="35"/>
      <c r="F45" s="35"/>
      <c r="G45" s="35"/>
      <c r="H45" s="35"/>
      <c r="I45" s="36"/>
    </row>
    <row r="46" spans="2:9" ht="18.75" x14ac:dyDescent="0.3">
      <c r="B46" s="34"/>
      <c r="C46" s="35" t="str">
        <f>C7</f>
        <v>Veículos</v>
      </c>
      <c r="D46" s="37">
        <f>D7</f>
        <v>70000</v>
      </c>
      <c r="E46" s="35"/>
      <c r="F46" s="35"/>
      <c r="G46" s="35" t="s">
        <v>57</v>
      </c>
      <c r="H46" s="35"/>
      <c r="I46" s="36"/>
    </row>
    <row r="47" spans="2:9" x14ac:dyDescent="0.25">
      <c r="B47" s="34"/>
      <c r="C47" s="35" t="str">
        <f>C9</f>
        <v>Máquinas e equipamentos</v>
      </c>
      <c r="D47" s="37">
        <f>D9</f>
        <v>117340</v>
      </c>
      <c r="E47" s="35"/>
      <c r="F47" s="35"/>
      <c r="G47" s="48" t="s">
        <v>54</v>
      </c>
      <c r="H47" s="35"/>
      <c r="I47" s="36"/>
    </row>
    <row r="48" spans="2:9" x14ac:dyDescent="0.25">
      <c r="B48" s="34"/>
      <c r="C48" s="35" t="str">
        <f>C10</f>
        <v>Móveis e utensílios</v>
      </c>
      <c r="D48" s="37">
        <f>D10</f>
        <v>200000</v>
      </c>
      <c r="E48" s="35"/>
      <c r="F48" s="35"/>
      <c r="G48" s="35"/>
      <c r="H48" s="35"/>
      <c r="I48" s="36"/>
    </row>
    <row r="49" spans="2:9" x14ac:dyDescent="0.25">
      <c r="B49" s="34"/>
      <c r="C49" s="35" t="str">
        <f>C28</f>
        <v>Imóvel</v>
      </c>
      <c r="D49" s="37">
        <f>D28</f>
        <v>320000</v>
      </c>
      <c r="E49" s="35"/>
      <c r="F49" s="35"/>
      <c r="G49" s="35"/>
      <c r="H49" s="35"/>
      <c r="I49" s="36"/>
    </row>
    <row r="50" spans="2:9" ht="18.75" x14ac:dyDescent="0.3">
      <c r="B50" s="39" t="s">
        <v>48</v>
      </c>
      <c r="C50" s="35" t="str">
        <f>C8</f>
        <v>Depreciação acumulada</v>
      </c>
      <c r="D50" s="40">
        <f>E8</f>
        <v>23228.6</v>
      </c>
      <c r="E50" s="35"/>
      <c r="F50" s="35"/>
      <c r="G50" s="35" t="s">
        <v>55</v>
      </c>
      <c r="H50" s="35"/>
      <c r="I50" s="36"/>
    </row>
    <row r="51" spans="2:9" x14ac:dyDescent="0.25">
      <c r="B51" s="34"/>
      <c r="C51" s="35"/>
      <c r="D51" s="35"/>
      <c r="E51" s="35"/>
      <c r="F51" s="35"/>
      <c r="G51" s="35" t="str">
        <f>C19</f>
        <v>Capital social</v>
      </c>
      <c r="H51" s="38">
        <f>E19</f>
        <v>500000</v>
      </c>
      <c r="I51" s="36"/>
    </row>
    <row r="52" spans="2:9" x14ac:dyDescent="0.25">
      <c r="B52" s="34"/>
      <c r="C52" s="35"/>
      <c r="D52" s="35"/>
      <c r="E52" s="35"/>
      <c r="F52" s="35"/>
      <c r="G52" s="35" t="s">
        <v>56</v>
      </c>
      <c r="H52" s="38">
        <f>H29</f>
        <v>209807.12</v>
      </c>
      <c r="I52" s="36"/>
    </row>
    <row r="53" spans="2:9" x14ac:dyDescent="0.25">
      <c r="B53" s="34"/>
      <c r="C53" s="35"/>
      <c r="D53" s="35"/>
      <c r="E53" s="35"/>
      <c r="F53" s="35"/>
      <c r="G53" s="35"/>
      <c r="H53" s="35"/>
      <c r="I53" s="36"/>
    </row>
    <row r="54" spans="2:9" ht="18.75" x14ac:dyDescent="0.3">
      <c r="B54" s="34"/>
      <c r="C54" s="41" t="s">
        <v>33</v>
      </c>
      <c r="D54" s="42">
        <f>SUM(D39:D42)+SUM(D46:D49)-D50</f>
        <v>1199787</v>
      </c>
      <c r="E54" s="35"/>
      <c r="F54" s="35"/>
      <c r="G54" s="41" t="s">
        <v>33</v>
      </c>
      <c r="H54" s="42">
        <f>SUM(H39:H44)+SUM(H51:H52)</f>
        <v>1199787</v>
      </c>
      <c r="I54" s="36"/>
    </row>
    <row r="55" spans="2:9" x14ac:dyDescent="0.25">
      <c r="B55" s="34"/>
      <c r="C55" s="35"/>
      <c r="D55" s="35"/>
      <c r="E55" s="35"/>
      <c r="F55" s="35"/>
      <c r="G55" s="35"/>
      <c r="H55" s="35"/>
      <c r="I55" s="36"/>
    </row>
    <row r="56" spans="2:9" x14ac:dyDescent="0.25">
      <c r="B56" s="34"/>
      <c r="C56" s="35"/>
      <c r="D56" s="35"/>
      <c r="E56" s="35"/>
      <c r="F56" s="35"/>
      <c r="G56" s="35"/>
      <c r="H56" s="35"/>
      <c r="I56" s="36"/>
    </row>
    <row r="57" spans="2:9" ht="15.75" thickBot="1" x14ac:dyDescent="0.3">
      <c r="B57" s="43"/>
      <c r="C57" s="7"/>
      <c r="D57" s="7"/>
      <c r="E57" s="7"/>
      <c r="F57" s="7"/>
      <c r="G57" s="7"/>
      <c r="H57" s="7"/>
      <c r="I57" s="44"/>
    </row>
  </sheetData>
  <mergeCells count="4">
    <mergeCell ref="G3:H3"/>
    <mergeCell ref="B36:I36"/>
    <mergeCell ref="B37:E37"/>
    <mergeCell ref="F37:I3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2019-12-01T14:22:07Z</dcterms:created>
  <dcterms:modified xsi:type="dcterms:W3CDTF">2019-12-01T14:59:54Z</dcterms:modified>
</cp:coreProperties>
</file>