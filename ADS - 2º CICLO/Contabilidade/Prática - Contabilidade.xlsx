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6"/>
  <workbookPr/>
  <mc:AlternateContent xmlns:mc="http://schemas.openxmlformats.org/markup-compatibility/2006">
    <mc:Choice Requires="x15">
      <x15ac:absPath xmlns:x15ac="http://schemas.microsoft.com/office/spreadsheetml/2010/11/ac" url="D:\2024\2sem2024\ADS\"/>
    </mc:Choice>
  </mc:AlternateContent>
  <xr:revisionPtr revIDLastSave="0" documentId="8_{D9AC7050-E77B-45C1-B162-C24B52B34EAF}" xr6:coauthVersionLast="47" xr6:coauthVersionMax="47" xr10:uidLastSave="{00000000-0000-0000-0000-000000000000}"/>
  <bookViews>
    <workbookView xWindow="0" yWindow="0" windowWidth="20490" windowHeight="7755" xr2:uid="{00000000-000D-0000-FFFF-FFFF00000000}"/>
  </bookViews>
  <sheets>
    <sheet name="Pla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6" i="1" l="1"/>
  <c r="F125" i="1"/>
  <c r="F124" i="1"/>
  <c r="F123" i="1"/>
  <c r="F122" i="1"/>
  <c r="F121" i="1"/>
  <c r="F120" i="1"/>
  <c r="F118" i="1"/>
  <c r="F117" i="1"/>
  <c r="F116" i="1"/>
  <c r="F115" i="1"/>
  <c r="F114" i="1"/>
  <c r="F113" i="1"/>
  <c r="F109" i="1"/>
  <c r="F108" i="1"/>
  <c r="F107" i="1"/>
  <c r="F106" i="1"/>
  <c r="C46" i="1"/>
  <c r="E83" i="1" l="1"/>
  <c r="E96" i="1" l="1"/>
  <c r="C96" i="1"/>
  <c r="E92" i="1"/>
  <c r="C92" i="1"/>
  <c r="C83" i="1"/>
  <c r="E75" i="1"/>
  <c r="E85" i="1" s="1"/>
  <c r="C75" i="1"/>
  <c r="C85" i="1" s="1"/>
  <c r="C94" i="1" s="1"/>
  <c r="C98" i="1" s="1"/>
  <c r="C102" i="1" s="1"/>
  <c r="E94" i="1" l="1"/>
  <c r="E64" i="1"/>
  <c r="E66" i="1" s="1"/>
  <c r="C64" i="1"/>
  <c r="C66" i="1" s="1"/>
  <c r="E55" i="1"/>
  <c r="C55" i="1"/>
  <c r="E46" i="1"/>
  <c r="E29" i="1"/>
  <c r="E17" i="1"/>
  <c r="C29" i="1"/>
  <c r="C17" i="1"/>
  <c r="E98" i="1" l="1"/>
  <c r="E32" i="1"/>
  <c r="E68" i="1"/>
  <c r="C68" i="1"/>
  <c r="C32" i="1"/>
  <c r="E102" i="1" l="1"/>
</calcChain>
</file>

<file path=xl/sharedStrings.xml><?xml version="1.0" encoding="utf-8"?>
<sst xmlns="http://schemas.openxmlformats.org/spreadsheetml/2006/main" count="124" uniqueCount="115">
  <si>
    <t>Vamos fazer a análise da Empresa Alpargatas S.A. dos anos de 2017 e 2018</t>
  </si>
  <si>
    <t>ALPARGATAS S.A E CONTROLADAS</t>
  </si>
  <si>
    <t>Balanços Patrimonais 2018 e 2017</t>
  </si>
  <si>
    <t>AV</t>
  </si>
  <si>
    <t>ATIVO</t>
  </si>
  <si>
    <t>CIRCULANTE</t>
  </si>
  <si>
    <t>Caixa e Equivalente de caixa</t>
  </si>
  <si>
    <t>Aplicações financeira</t>
  </si>
  <si>
    <t>Contas a Receber</t>
  </si>
  <si>
    <t>Estoques</t>
  </si>
  <si>
    <t>Impostos a Recuperar</t>
  </si>
  <si>
    <t>Despesas antecipadas</t>
  </si>
  <si>
    <t>Instrumentos financeiros derivados</t>
  </si>
  <si>
    <t>Outros créditos</t>
  </si>
  <si>
    <t>Total do ativo circulante</t>
  </si>
  <si>
    <t>NÃO CIRCULANTE</t>
  </si>
  <si>
    <t>Contas a receber</t>
  </si>
  <si>
    <t>Impostos a recuperar</t>
  </si>
  <si>
    <t>Imposto de renda e contribuição</t>
  </si>
  <si>
    <t>Depósitos judiciais</t>
  </si>
  <si>
    <t>Partes relacionadas</t>
  </si>
  <si>
    <t>Investimentos</t>
  </si>
  <si>
    <t>Imobilizado</t>
  </si>
  <si>
    <t>Intangível</t>
  </si>
  <si>
    <t>Total do ativo não circulante</t>
  </si>
  <si>
    <t>TOTAL DO ATIVO</t>
  </si>
  <si>
    <t>PASSIVO</t>
  </si>
  <si>
    <t>Fornecedores</t>
  </si>
  <si>
    <t>Empréstimos e financiamentos</t>
  </si>
  <si>
    <t>Obrigações fiscais</t>
  </si>
  <si>
    <t>Provisões e outras obrigações</t>
  </si>
  <si>
    <t>Obrigações negociadas de controladas</t>
  </si>
  <si>
    <t>Obrigações Trabalhistas</t>
  </si>
  <si>
    <t>Provisão para riscos tributários</t>
  </si>
  <si>
    <t>Juros sobre capital próprio e dividendo</t>
  </si>
  <si>
    <t>Instrumentos finaneiros derivativos</t>
  </si>
  <si>
    <t>Total passivo circulante</t>
  </si>
  <si>
    <t>Provisão pra riscos tributários</t>
  </si>
  <si>
    <t>Plano de incentivo de longo prazo</t>
  </si>
  <si>
    <t>Outrs obrigações</t>
  </si>
  <si>
    <t>Total do passivo não circulante</t>
  </si>
  <si>
    <t>PATRIMÔNIO LÍQUIDO</t>
  </si>
  <si>
    <t>Capital social</t>
  </si>
  <si>
    <t>Reserva de capital</t>
  </si>
  <si>
    <t>Reserva de lucros</t>
  </si>
  <si>
    <t>Ajuste de avaliação patrimonial</t>
  </si>
  <si>
    <t>Ações em tesouraria</t>
  </si>
  <si>
    <t>Dividendo adicional proposto</t>
  </si>
  <si>
    <t>Patrimônio Líquido atribuido aos acionistas controladores</t>
  </si>
  <si>
    <t>Participação dos aionistas não controladores</t>
  </si>
  <si>
    <t>Total do Patrimônio Líquido</t>
  </si>
  <si>
    <t>TOTAL DO PASSIVO</t>
  </si>
  <si>
    <t>DRE</t>
  </si>
  <si>
    <t>AH</t>
  </si>
  <si>
    <t>OPERAÇÕES CONTINUADA</t>
  </si>
  <si>
    <t>Receita operacional líquida</t>
  </si>
  <si>
    <t>Custo dos produtos vendidos</t>
  </si>
  <si>
    <t>LUCRO BRUTO</t>
  </si>
  <si>
    <t>(DESPESAS) RECEITAS OPERACIONAIS</t>
  </si>
  <si>
    <t>Despesas com vendas</t>
  </si>
  <si>
    <t>Despesas gerais e administrativas</t>
  </si>
  <si>
    <t>Honorários dos administradores</t>
  </si>
  <si>
    <t>Resultado de equivalência patrimonial</t>
  </si>
  <si>
    <t>Outras despesas operacionais</t>
  </si>
  <si>
    <t>LUCRO OPERACIONAL ANTES DO RESULTADO FINANCEIRO</t>
  </si>
  <si>
    <t>Receitas financeiras</t>
  </si>
  <si>
    <t>Despesas financeiras</t>
  </si>
  <si>
    <t>Ganhos em operações com debentures</t>
  </si>
  <si>
    <t>Perdas em operações com debentures</t>
  </si>
  <si>
    <t>Ganho/perda posição monetária</t>
  </si>
  <si>
    <t>Variação cambial liquida</t>
  </si>
  <si>
    <t>LUCRO ANTES DO IRPJ E CONTRIBUIÇÃO SOCIAL</t>
  </si>
  <si>
    <t>Imposto de rend e contribuição</t>
  </si>
  <si>
    <t>LUCRO LÍQUIDO DO EXERCÍCIO PROVINIENTES DAS OPERAÇÕES CONTINUADA</t>
  </si>
  <si>
    <t>(PREJUÍZO) DO EXERCICIO PROVINIENTES DAS OPERAÇÕES DESCONTINUADAS</t>
  </si>
  <si>
    <t>LUCRO LÍQUIDO DO EXERCICIO</t>
  </si>
  <si>
    <t>Indices</t>
  </si>
  <si>
    <t>FÓRMULA</t>
  </si>
  <si>
    <t>R$</t>
  </si>
  <si>
    <t>ILC = Liquidez Corrente</t>
  </si>
  <si>
    <t>AC/PC</t>
  </si>
  <si>
    <t>ILS = Liquidez Seca</t>
  </si>
  <si>
    <t>(AC - Estoque) / PC</t>
  </si>
  <si>
    <t>ILI = Liquidez Imediata</t>
  </si>
  <si>
    <t>Disponível/PC</t>
  </si>
  <si>
    <t>ILG = Liquidez Geral</t>
  </si>
  <si>
    <t>(AC+RLP) / (PC+PNC)</t>
  </si>
  <si>
    <t>ÍNDICES DE ENDIVIDAMENTO</t>
  </si>
  <si>
    <t>Relação Capital de terceiros x Passivo Total</t>
  </si>
  <si>
    <t>(PC+ELP) / Passivo Total</t>
  </si>
  <si>
    <t>Relação Capital de terceiros x Capital Próprio</t>
  </si>
  <si>
    <t>(PC+ELP) / PL</t>
  </si>
  <si>
    <t>Grau de Imobilização do PL</t>
  </si>
  <si>
    <t>Imobilizado/PL</t>
  </si>
  <si>
    <t>Cobertura de Juros</t>
  </si>
  <si>
    <t>LAJIR / Despesas c Juros Ano</t>
  </si>
  <si>
    <t>Endividamento Geral</t>
  </si>
  <si>
    <t>(PC+ELP) / Ativo Total</t>
  </si>
  <si>
    <t>Composição do Endividamento</t>
  </si>
  <si>
    <t>Passivo Circulante / (PC+ELP)</t>
  </si>
  <si>
    <t>INDICES DE ATIVIDADES</t>
  </si>
  <si>
    <t>Prazo Médio de Estocagem</t>
  </si>
  <si>
    <t>Estoque Médio/ CMV * 360</t>
  </si>
  <si>
    <t>Prazo Médio de Recebimento</t>
  </si>
  <si>
    <t>Clientes/Vendas * 360</t>
  </si>
  <si>
    <t>Prazo Médio de Pagamento</t>
  </si>
  <si>
    <t>Fornecedores/Compras do ano * 360</t>
  </si>
  <si>
    <t>Giro de Estoque</t>
  </si>
  <si>
    <t>360/pme</t>
  </si>
  <si>
    <t>Giro de Recebimento</t>
  </si>
  <si>
    <t>360/pmr</t>
  </si>
  <si>
    <t>Giro de Pagamento</t>
  </si>
  <si>
    <t>360/pmp</t>
  </si>
  <si>
    <t>CCC - folga de caixa</t>
  </si>
  <si>
    <t>pme+pmr-pmp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</si>
</sst>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R$&quot;\ * #,##0.00_-;\-&quot;R$&quot;\ * #,##0.00_-;_-&quot;R$&quot;\ * &quot;-&quot;??_-;_-@_-"/>
    <numFmt numFmtId="165" formatCode="_-* #,##0.00_-;\-* #,##0.00_-;_-* &quot;-&quot;??_-;_-@_-"/>
    <numFmt numFmtId="166" formatCode="_-* #,##0_-;\-* #,##0_-;_-* &quot;-&quot;??_-;_-@_-"/>
    <numFmt numFmtId="167" formatCode="0.00000"/>
    <numFmt numFmtId="168" formatCode="0.0000000"/>
    <numFmt numFmtId="169" formatCode="0.0"/>
    <numFmt numFmtId="170" formatCode="_-* #,##0.0_-;\-* #,##0.0_-;_-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0">
    <xf numFmtId="0" fontId="0" fillId="0" borderId="0" xfId="0"/>
    <xf numFmtId="3" fontId="0" fillId="0" borderId="0" xfId="0" applyNumberFormat="1"/>
    <xf numFmtId="0" fontId="0" fillId="0" borderId="0" xfId="0" applyAlignment="1">
      <alignment horizontal="left" vertical="center" indent="7"/>
    </xf>
    <xf numFmtId="0" fontId="0" fillId="0" borderId="0" xfId="0" applyAlignment="1">
      <alignment horizontal="left" vertical="center" indent="10"/>
    </xf>
    <xf numFmtId="0" fontId="0" fillId="0" borderId="0" xfId="0" applyAlignment="1">
      <alignment vertical="center"/>
    </xf>
    <xf numFmtId="9" fontId="0" fillId="0" borderId="0" xfId="1" applyFont="1"/>
    <xf numFmtId="166" fontId="0" fillId="0" borderId="0" xfId="0" applyNumberFormat="1"/>
    <xf numFmtId="10" fontId="0" fillId="0" borderId="0" xfId="0" applyNumberFormat="1"/>
    <xf numFmtId="9" fontId="0" fillId="0" borderId="0" xfId="1" applyFont="1" applyFill="1"/>
    <xf numFmtId="164" fontId="0" fillId="0" borderId="0" xfId="3" applyFont="1" applyBorder="1"/>
    <xf numFmtId="165" fontId="0" fillId="0" borderId="0" xfId="0" applyNumberForma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3" fillId="0" borderId="2" xfId="0" applyFont="1" applyBorder="1"/>
    <xf numFmtId="0" fontId="2" fillId="0" borderId="2" xfId="0" applyFont="1" applyBorder="1"/>
    <xf numFmtId="3" fontId="2" fillId="0" borderId="1" xfId="0" applyNumberFormat="1" applyFont="1" applyBorder="1"/>
    <xf numFmtId="10" fontId="2" fillId="0" borderId="1" xfId="0" applyNumberFormat="1" applyFont="1" applyBorder="1"/>
    <xf numFmtId="166" fontId="2" fillId="0" borderId="2" xfId="2" applyNumberFormat="1" applyFont="1" applyFill="1" applyBorder="1"/>
    <xf numFmtId="166" fontId="2" fillId="0" borderId="2" xfId="2" applyNumberFormat="1" applyFont="1" applyBorder="1"/>
    <xf numFmtId="3" fontId="3" fillId="0" borderId="1" xfId="0" applyNumberFormat="1" applyFont="1" applyBorder="1"/>
    <xf numFmtId="166" fontId="3" fillId="0" borderId="2" xfId="2" applyNumberFormat="1" applyFont="1" applyBorder="1"/>
    <xf numFmtId="166" fontId="2" fillId="0" borderId="0" xfId="2" applyNumberFormat="1" applyFont="1"/>
    <xf numFmtId="0" fontId="3" fillId="0" borderId="1" xfId="0" applyFont="1" applyBorder="1" applyAlignment="1">
      <alignment horizontal="center"/>
    </xf>
    <xf numFmtId="10" fontId="2" fillId="0" borderId="1" xfId="1" applyNumberFormat="1" applyFont="1" applyBorder="1"/>
    <xf numFmtId="0" fontId="2" fillId="2" borderId="1" xfId="0" applyFont="1" applyFill="1" applyBorder="1" applyAlignment="1">
      <alignment horizontal="center"/>
    </xf>
    <xf numFmtId="167" fontId="4" fillId="0" borderId="1" xfId="0" applyNumberFormat="1" applyFont="1" applyBorder="1"/>
    <xf numFmtId="0" fontId="2" fillId="2" borderId="2" xfId="0" applyFont="1" applyFill="1" applyBorder="1" applyAlignment="1">
      <alignment horizontal="center"/>
    </xf>
    <xf numFmtId="10" fontId="4" fillId="0" borderId="2" xfId="0" applyNumberFormat="1" applyFont="1" applyBorder="1"/>
    <xf numFmtId="169" fontId="4" fillId="0" borderId="2" xfId="0" applyNumberFormat="1" applyFont="1" applyBorder="1"/>
    <xf numFmtId="0" fontId="4" fillId="0" borderId="2" xfId="0" applyFont="1" applyBorder="1"/>
    <xf numFmtId="168" fontId="4" fillId="0" borderId="2" xfId="0" applyNumberFormat="1" applyFont="1" applyBorder="1"/>
    <xf numFmtId="170" fontId="4" fillId="0" borderId="2" xfId="0" applyNumberFormat="1" applyFont="1" applyBorder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4">
    <cellStyle name="Moeda" xfId="3" builtinId="4"/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26"/>
  <sheetViews>
    <sheetView tabSelected="1" view="pageBreakPreview" topLeftCell="C105" zoomScale="110" zoomScaleNormal="228" zoomScaleSheetLayoutView="110" workbookViewId="0">
      <selection activeCell="F127" sqref="F127"/>
    </sheetView>
  </sheetViews>
  <sheetFormatPr defaultRowHeight="15"/>
  <cols>
    <col min="1" max="1" width="3.85546875" customWidth="1"/>
    <col min="2" max="2" width="39.42578125" customWidth="1"/>
    <col min="3" max="3" width="61.5703125" customWidth="1"/>
    <col min="4" max="4" width="57.140625" customWidth="1"/>
    <col min="5" max="5" width="70" customWidth="1"/>
    <col min="6" max="6" width="65" customWidth="1"/>
    <col min="7" max="7" width="16.42578125" customWidth="1"/>
    <col min="9" max="9" width="12.5703125" bestFit="1" customWidth="1"/>
    <col min="10" max="10" width="15.28515625" bestFit="1" customWidth="1"/>
    <col min="15" max="15" width="4" customWidth="1"/>
    <col min="17" max="17" width="6.42578125" customWidth="1"/>
    <col min="19" max="19" width="7.85546875" customWidth="1"/>
  </cols>
  <sheetData>
    <row r="2" spans="2:7" ht="20.25" customHeight="1">
      <c r="B2" s="37" t="s">
        <v>0</v>
      </c>
      <c r="C2" s="37"/>
      <c r="D2" s="37"/>
      <c r="E2" s="37"/>
      <c r="F2" s="37"/>
    </row>
    <row r="3" spans="2:7" ht="20.25" customHeight="1">
      <c r="B3" s="37"/>
      <c r="C3" s="37"/>
      <c r="D3" s="37"/>
      <c r="E3" s="37"/>
      <c r="F3" s="37"/>
    </row>
    <row r="4" spans="2:7" ht="20.25">
      <c r="B4" s="33" t="s">
        <v>1</v>
      </c>
      <c r="C4" s="33"/>
      <c r="D4" s="33"/>
      <c r="E4" s="33"/>
      <c r="F4" s="33"/>
    </row>
    <row r="5" spans="2:7" ht="20.25">
      <c r="B5" s="34" t="s">
        <v>2</v>
      </c>
      <c r="C5" s="34"/>
      <c r="D5" s="34"/>
      <c r="E5" s="34"/>
      <c r="F5" s="34"/>
    </row>
    <row r="6" spans="2:7" ht="20.25">
      <c r="B6" s="12"/>
      <c r="C6" s="13">
        <v>2018</v>
      </c>
      <c r="D6" s="13" t="s">
        <v>3</v>
      </c>
      <c r="E6" s="14">
        <v>2017</v>
      </c>
      <c r="F6" s="13"/>
    </row>
    <row r="7" spans="2:7" ht="20.25">
      <c r="B7" s="13" t="s">
        <v>4</v>
      </c>
      <c r="C7" s="12"/>
      <c r="D7" s="12"/>
      <c r="E7" s="15"/>
      <c r="F7" s="12"/>
    </row>
    <row r="8" spans="2:7" ht="20.25">
      <c r="B8" s="13" t="s">
        <v>5</v>
      </c>
      <c r="C8" s="12"/>
      <c r="D8" s="12"/>
      <c r="E8" s="15"/>
      <c r="F8" s="12"/>
    </row>
    <row r="9" spans="2:7" ht="20.25">
      <c r="B9" s="12" t="s">
        <v>6</v>
      </c>
      <c r="C9" s="16">
        <v>518782</v>
      </c>
      <c r="D9" s="17"/>
      <c r="E9" s="18">
        <v>629238</v>
      </c>
      <c r="F9" s="12"/>
      <c r="G9" s="7"/>
    </row>
    <row r="10" spans="2:7" ht="20.25">
      <c r="B10" s="12" t="s">
        <v>7</v>
      </c>
      <c r="C10" s="16">
        <v>22156</v>
      </c>
      <c r="D10" s="17"/>
      <c r="E10" s="18">
        <v>77115</v>
      </c>
      <c r="F10" s="12"/>
      <c r="G10" s="7"/>
    </row>
    <row r="11" spans="2:7" ht="20.25">
      <c r="B11" s="12" t="s">
        <v>8</v>
      </c>
      <c r="C11" s="16">
        <v>972499</v>
      </c>
      <c r="D11" s="17"/>
      <c r="E11" s="18">
        <v>911541</v>
      </c>
      <c r="F11" s="12"/>
      <c r="G11" s="7"/>
    </row>
    <row r="12" spans="2:7" ht="20.25">
      <c r="B12" s="12" t="s">
        <v>9</v>
      </c>
      <c r="C12" s="16">
        <v>730330</v>
      </c>
      <c r="D12" s="17"/>
      <c r="E12" s="18">
        <v>698761</v>
      </c>
      <c r="F12" s="12"/>
      <c r="G12" s="7"/>
    </row>
    <row r="13" spans="2:7" ht="20.25">
      <c r="B13" s="12" t="s">
        <v>10</v>
      </c>
      <c r="C13" s="16">
        <v>85544</v>
      </c>
      <c r="D13" s="17"/>
      <c r="E13" s="18">
        <v>85158</v>
      </c>
      <c r="F13" s="12"/>
      <c r="G13" s="7"/>
    </row>
    <row r="14" spans="2:7" ht="20.25">
      <c r="B14" s="12" t="s">
        <v>11</v>
      </c>
      <c r="C14" s="16">
        <v>22712</v>
      </c>
      <c r="D14" s="17"/>
      <c r="E14" s="18">
        <v>11262</v>
      </c>
      <c r="F14" s="12"/>
      <c r="G14" s="7"/>
    </row>
    <row r="15" spans="2:7" ht="20.25">
      <c r="B15" s="12" t="s">
        <v>12</v>
      </c>
      <c r="C15" s="16">
        <v>1136</v>
      </c>
      <c r="D15" s="17"/>
      <c r="E15" s="18">
        <v>0</v>
      </c>
      <c r="F15" s="12"/>
      <c r="G15" s="7"/>
    </row>
    <row r="16" spans="2:7" ht="20.25">
      <c r="B16" s="12" t="s">
        <v>13</v>
      </c>
      <c r="C16" s="16">
        <v>36153</v>
      </c>
      <c r="D16" s="17"/>
      <c r="E16" s="18">
        <v>26838</v>
      </c>
      <c r="F16" s="12"/>
      <c r="G16" s="7"/>
    </row>
    <row r="17" spans="2:9" ht="20.25">
      <c r="B17" s="12" t="s">
        <v>14</v>
      </c>
      <c r="C17" s="16">
        <f>SUM(C9:C16)</f>
        <v>2389312</v>
      </c>
      <c r="D17" s="17"/>
      <c r="E17" s="18">
        <f>SUM(E9:E16)</f>
        <v>2439913</v>
      </c>
      <c r="F17" s="16"/>
      <c r="G17" s="7"/>
    </row>
    <row r="18" spans="2:9" ht="20.25">
      <c r="B18" s="12"/>
      <c r="C18" s="16"/>
      <c r="D18" s="17"/>
      <c r="E18" s="18"/>
      <c r="F18" s="12"/>
      <c r="G18" s="7"/>
    </row>
    <row r="19" spans="2:9" ht="20.25">
      <c r="B19" s="13" t="s">
        <v>15</v>
      </c>
      <c r="C19" s="16"/>
      <c r="D19" s="17"/>
      <c r="E19" s="18"/>
      <c r="F19" s="12"/>
      <c r="G19" s="7"/>
    </row>
    <row r="20" spans="2:9" ht="20.25">
      <c r="B20" s="12" t="s">
        <v>16</v>
      </c>
      <c r="C20" s="16">
        <v>3063</v>
      </c>
      <c r="D20" s="17"/>
      <c r="E20" s="18">
        <v>0</v>
      </c>
      <c r="F20" s="12"/>
      <c r="G20" s="7"/>
      <c r="I20" s="2"/>
    </row>
    <row r="21" spans="2:9" ht="20.25">
      <c r="B21" s="12" t="s">
        <v>17</v>
      </c>
      <c r="C21" s="16">
        <v>200279</v>
      </c>
      <c r="D21" s="17"/>
      <c r="E21" s="18">
        <v>16564</v>
      </c>
      <c r="F21" s="12"/>
      <c r="G21" s="7"/>
      <c r="I21" s="3"/>
    </row>
    <row r="22" spans="2:9" ht="20.25">
      <c r="B22" s="12" t="s">
        <v>18</v>
      </c>
      <c r="C22" s="16">
        <v>98650</v>
      </c>
      <c r="D22" s="17"/>
      <c r="E22" s="18">
        <v>106406</v>
      </c>
      <c r="F22" s="12"/>
      <c r="G22" s="7"/>
      <c r="I22" s="3"/>
    </row>
    <row r="23" spans="2:9" ht="20.25">
      <c r="B23" s="12" t="s">
        <v>19</v>
      </c>
      <c r="C23" s="16">
        <v>44322</v>
      </c>
      <c r="D23" s="17"/>
      <c r="E23" s="18">
        <v>16193</v>
      </c>
      <c r="F23" s="12"/>
      <c r="G23" s="7"/>
      <c r="I23" s="3"/>
    </row>
    <row r="24" spans="2:9" ht="20.25">
      <c r="B24" s="12" t="s">
        <v>20</v>
      </c>
      <c r="C24" s="16">
        <v>0</v>
      </c>
      <c r="D24" s="17"/>
      <c r="E24" s="18">
        <v>0</v>
      </c>
      <c r="F24" s="12"/>
      <c r="G24" s="7"/>
      <c r="I24" s="2"/>
    </row>
    <row r="25" spans="2:9" ht="20.25">
      <c r="B25" s="12" t="s">
        <v>13</v>
      </c>
      <c r="C25" s="16">
        <v>18111</v>
      </c>
      <c r="D25" s="17"/>
      <c r="E25" s="18">
        <v>50517</v>
      </c>
      <c r="F25" s="12"/>
      <c r="G25" s="7"/>
      <c r="I25" s="3"/>
    </row>
    <row r="26" spans="2:9" ht="20.25">
      <c r="B26" s="12" t="s">
        <v>21</v>
      </c>
      <c r="C26" s="16">
        <v>2322</v>
      </c>
      <c r="D26" s="17"/>
      <c r="E26" s="18">
        <v>1320</v>
      </c>
      <c r="F26" s="12"/>
      <c r="G26" s="7"/>
      <c r="I26" s="3"/>
    </row>
    <row r="27" spans="2:9" ht="20.25">
      <c r="B27" s="12" t="s">
        <v>22</v>
      </c>
      <c r="C27" s="16">
        <v>770722</v>
      </c>
      <c r="D27" s="17"/>
      <c r="E27" s="18">
        <v>721645</v>
      </c>
      <c r="F27" s="12"/>
      <c r="G27" s="7"/>
      <c r="I27" s="3"/>
    </row>
    <row r="28" spans="2:9" ht="20.25">
      <c r="B28" s="12" t="s">
        <v>23</v>
      </c>
      <c r="C28" s="16">
        <v>453324</v>
      </c>
      <c r="D28" s="17"/>
      <c r="E28" s="18">
        <v>493834</v>
      </c>
      <c r="F28" s="12"/>
      <c r="G28" s="7"/>
      <c r="I28" s="3"/>
    </row>
    <row r="29" spans="2:9" ht="20.25">
      <c r="B29" s="12" t="s">
        <v>24</v>
      </c>
      <c r="C29" s="16">
        <f>SUM(C20:C28)</f>
        <v>1590793</v>
      </c>
      <c r="D29" s="17"/>
      <c r="E29" s="18">
        <f>SUM(E20:E28)</f>
        <v>1406479</v>
      </c>
      <c r="F29" s="16"/>
      <c r="G29" s="7"/>
      <c r="I29" s="4"/>
    </row>
    <row r="30" spans="2:9" ht="20.25">
      <c r="B30" s="12"/>
      <c r="C30" s="16"/>
      <c r="D30" s="17"/>
      <c r="E30" s="18"/>
      <c r="F30" s="12"/>
      <c r="G30" s="7"/>
      <c r="I30" s="2"/>
    </row>
    <row r="31" spans="2:9" ht="20.25">
      <c r="B31" s="12"/>
      <c r="C31" s="16"/>
      <c r="D31" s="17"/>
      <c r="E31" s="19"/>
      <c r="F31" s="12"/>
      <c r="G31" s="7"/>
      <c r="I31" s="3"/>
    </row>
    <row r="32" spans="2:9" ht="20.25">
      <c r="B32" s="13" t="s">
        <v>25</v>
      </c>
      <c r="C32" s="20">
        <f>C17+C29</f>
        <v>3980105</v>
      </c>
      <c r="D32" s="17"/>
      <c r="E32" s="21">
        <f>E17+E29</f>
        <v>3846392</v>
      </c>
      <c r="F32" s="20"/>
      <c r="G32" s="7"/>
      <c r="I32" s="3"/>
    </row>
    <row r="33" spans="2:9" ht="20.25">
      <c r="B33" s="11"/>
      <c r="C33" s="11"/>
      <c r="D33" s="17"/>
      <c r="E33" s="22"/>
      <c r="F33" s="12"/>
      <c r="G33" s="7"/>
      <c r="I33" s="3"/>
    </row>
    <row r="34" spans="2:9" ht="20.25">
      <c r="B34" s="12"/>
      <c r="C34" s="13">
        <v>2018</v>
      </c>
      <c r="D34" s="17"/>
      <c r="E34" s="21">
        <v>2017</v>
      </c>
      <c r="F34" s="13"/>
      <c r="G34" s="7"/>
      <c r="I34" s="3"/>
    </row>
    <row r="35" spans="2:9" ht="20.25">
      <c r="B35" s="13" t="s">
        <v>26</v>
      </c>
      <c r="C35" s="12"/>
      <c r="D35" s="17"/>
      <c r="E35" s="19"/>
      <c r="F35" s="12"/>
      <c r="G35" s="7"/>
      <c r="I35" s="4"/>
    </row>
    <row r="36" spans="2:9" ht="20.25">
      <c r="B36" s="13" t="s">
        <v>5</v>
      </c>
      <c r="C36" s="12"/>
      <c r="D36" s="17"/>
      <c r="E36" s="19"/>
      <c r="F36" s="12"/>
      <c r="G36" s="7"/>
    </row>
    <row r="37" spans="2:9" ht="20.25">
      <c r="B37" s="12" t="s">
        <v>27</v>
      </c>
      <c r="C37" s="16">
        <v>449069</v>
      </c>
      <c r="D37" s="17"/>
      <c r="E37" s="19">
        <v>388112</v>
      </c>
      <c r="F37" s="16"/>
      <c r="G37" s="7"/>
    </row>
    <row r="38" spans="2:9" ht="20.25">
      <c r="B38" s="12" t="s">
        <v>28</v>
      </c>
      <c r="C38" s="16">
        <v>382258</v>
      </c>
      <c r="D38" s="17"/>
      <c r="E38" s="18">
        <v>408941</v>
      </c>
      <c r="F38" s="16"/>
      <c r="G38" s="7"/>
      <c r="H38" s="1"/>
      <c r="I38" s="6"/>
    </row>
    <row r="39" spans="2:9" ht="20.25">
      <c r="B39" s="12" t="s">
        <v>29</v>
      </c>
      <c r="C39" s="16">
        <v>44702</v>
      </c>
      <c r="D39" s="17"/>
      <c r="E39" s="18">
        <v>32785</v>
      </c>
      <c r="F39" s="16"/>
      <c r="G39" s="7"/>
      <c r="H39" s="1"/>
    </row>
    <row r="40" spans="2:9" ht="20.25">
      <c r="B40" s="12" t="s">
        <v>30</v>
      </c>
      <c r="C40" s="16">
        <v>103161</v>
      </c>
      <c r="D40" s="17"/>
      <c r="E40" s="18">
        <v>134853</v>
      </c>
      <c r="F40" s="16"/>
      <c r="G40" s="7"/>
    </row>
    <row r="41" spans="2:9" ht="20.25">
      <c r="B41" s="12" t="s">
        <v>31</v>
      </c>
      <c r="C41" s="16">
        <v>2030</v>
      </c>
      <c r="D41" s="17"/>
      <c r="E41" s="18">
        <v>4855</v>
      </c>
      <c r="F41" s="16"/>
      <c r="G41" s="7"/>
    </row>
    <row r="42" spans="2:9" ht="20.25">
      <c r="B42" s="12" t="s">
        <v>32</v>
      </c>
      <c r="C42" s="16">
        <v>148432</v>
      </c>
      <c r="D42" s="17"/>
      <c r="E42" s="18">
        <v>131336</v>
      </c>
      <c r="F42" s="16"/>
      <c r="G42" s="7"/>
    </row>
    <row r="43" spans="2:9" ht="20.25">
      <c r="B43" s="12" t="s">
        <v>33</v>
      </c>
      <c r="C43" s="16">
        <v>20271</v>
      </c>
      <c r="D43" s="17"/>
      <c r="E43" s="18">
        <v>9344</v>
      </c>
      <c r="F43" s="16"/>
      <c r="G43" s="7"/>
    </row>
    <row r="44" spans="2:9" ht="20.25">
      <c r="B44" s="12" t="s">
        <v>34</v>
      </c>
      <c r="C44" s="16">
        <v>4399</v>
      </c>
      <c r="D44" s="17"/>
      <c r="E44" s="18">
        <v>5044</v>
      </c>
      <c r="F44" s="16"/>
      <c r="G44" s="7"/>
    </row>
    <row r="45" spans="2:9" ht="20.25">
      <c r="B45" s="12" t="s">
        <v>35</v>
      </c>
      <c r="C45" s="16">
        <v>5288</v>
      </c>
      <c r="D45" s="17"/>
      <c r="E45" s="18">
        <v>587</v>
      </c>
      <c r="F45" s="16"/>
      <c r="G45" s="7"/>
    </row>
    <row r="46" spans="2:9" ht="20.25">
      <c r="B46" s="12" t="s">
        <v>36</v>
      </c>
      <c r="C46" s="16">
        <f>SUM(C37:C45)</f>
        <v>1159610</v>
      </c>
      <c r="D46" s="17"/>
      <c r="E46" s="18">
        <f>SUM(E37:E45)</f>
        <v>1115857</v>
      </c>
      <c r="F46" s="16"/>
      <c r="G46" s="7"/>
    </row>
    <row r="47" spans="2:9" ht="20.25">
      <c r="B47" s="12"/>
      <c r="C47" s="16"/>
      <c r="D47" s="17"/>
      <c r="E47" s="19"/>
      <c r="F47" s="16"/>
      <c r="G47" s="7"/>
    </row>
    <row r="48" spans="2:9" ht="20.25">
      <c r="B48" s="13" t="s">
        <v>15</v>
      </c>
      <c r="C48" s="16"/>
      <c r="D48" s="17"/>
      <c r="E48" s="19"/>
      <c r="F48" s="16"/>
      <c r="G48" s="7"/>
    </row>
    <row r="49" spans="2:9" ht="20.25">
      <c r="B49" s="12" t="s">
        <v>28</v>
      </c>
      <c r="C49" s="16">
        <v>230676</v>
      </c>
      <c r="D49" s="17"/>
      <c r="E49" s="19">
        <v>324702</v>
      </c>
      <c r="F49" s="16"/>
      <c r="G49" s="7"/>
      <c r="I49" s="6"/>
    </row>
    <row r="50" spans="2:9" ht="20.25">
      <c r="B50" s="12" t="s">
        <v>31</v>
      </c>
      <c r="C50" s="16">
        <v>7748</v>
      </c>
      <c r="D50" s="17"/>
      <c r="E50" s="19">
        <v>18834</v>
      </c>
      <c r="F50" s="16"/>
      <c r="G50" s="7"/>
    </row>
    <row r="51" spans="2:9" ht="20.25">
      <c r="B51" s="12" t="s">
        <v>18</v>
      </c>
      <c r="C51" s="16">
        <v>70603</v>
      </c>
      <c r="D51" s="17"/>
      <c r="E51" s="19">
        <v>55917</v>
      </c>
      <c r="F51" s="16"/>
      <c r="G51" s="7"/>
    </row>
    <row r="52" spans="2:9" ht="20.25">
      <c r="B52" s="12" t="s">
        <v>37</v>
      </c>
      <c r="C52" s="16">
        <v>17872</v>
      </c>
      <c r="D52" s="17"/>
      <c r="E52" s="19">
        <v>40553</v>
      </c>
      <c r="F52" s="16"/>
      <c r="G52" s="7"/>
    </row>
    <row r="53" spans="2:9" ht="20.25">
      <c r="B53" s="12" t="s">
        <v>38</v>
      </c>
      <c r="C53" s="16">
        <v>8631</v>
      </c>
      <c r="D53" s="17"/>
      <c r="E53" s="19">
        <v>12498</v>
      </c>
      <c r="F53" s="16"/>
      <c r="G53" s="7"/>
    </row>
    <row r="54" spans="2:9" ht="20.25">
      <c r="B54" s="12" t="s">
        <v>39</v>
      </c>
      <c r="C54" s="16">
        <v>15127</v>
      </c>
      <c r="D54" s="17"/>
      <c r="E54" s="19">
        <v>13642</v>
      </c>
      <c r="F54" s="16"/>
      <c r="G54" s="7"/>
    </row>
    <row r="55" spans="2:9" ht="20.25">
      <c r="B55" s="12" t="s">
        <v>40</v>
      </c>
      <c r="C55" s="16">
        <f>SUM(C49:C54)</f>
        <v>350657</v>
      </c>
      <c r="D55" s="17"/>
      <c r="E55" s="19">
        <f>SUM(E49:E54)</f>
        <v>466146</v>
      </c>
      <c r="F55" s="16"/>
      <c r="G55" s="7"/>
    </row>
    <row r="56" spans="2:9" ht="20.25">
      <c r="B56" s="12"/>
      <c r="C56" s="16"/>
      <c r="D56" s="17"/>
      <c r="E56" s="19"/>
      <c r="F56" s="16"/>
      <c r="G56" s="7"/>
      <c r="H56" s="5"/>
    </row>
    <row r="57" spans="2:9" ht="20.25">
      <c r="B57" s="13" t="s">
        <v>41</v>
      </c>
      <c r="C57" s="16"/>
      <c r="D57" s="17"/>
      <c r="E57" s="19"/>
      <c r="F57" s="16"/>
      <c r="G57" s="7"/>
    </row>
    <row r="58" spans="2:9" ht="20.25">
      <c r="B58" s="12" t="s">
        <v>42</v>
      </c>
      <c r="C58" s="16">
        <v>648497</v>
      </c>
      <c r="D58" s="17"/>
      <c r="E58" s="19">
        <v>648497</v>
      </c>
      <c r="F58" s="16"/>
      <c r="G58" s="7"/>
      <c r="H58" s="5"/>
    </row>
    <row r="59" spans="2:9" ht="20.25">
      <c r="B59" s="12" t="s">
        <v>43</v>
      </c>
      <c r="C59" s="16">
        <v>172799</v>
      </c>
      <c r="D59" s="17"/>
      <c r="E59" s="19">
        <v>172799</v>
      </c>
      <c r="F59" s="16"/>
      <c r="G59" s="7"/>
      <c r="H59" s="5"/>
    </row>
    <row r="60" spans="2:9" ht="20.25">
      <c r="B60" s="12" t="s">
        <v>44</v>
      </c>
      <c r="C60" s="16">
        <v>1700007</v>
      </c>
      <c r="D60" s="17"/>
      <c r="E60" s="19">
        <v>1480995</v>
      </c>
      <c r="F60" s="16"/>
      <c r="G60" s="7"/>
      <c r="H60" s="5"/>
    </row>
    <row r="61" spans="2:9" ht="20.25">
      <c r="B61" s="12" t="s">
        <v>45</v>
      </c>
      <c r="C61" s="16">
        <v>-76242</v>
      </c>
      <c r="D61" s="17"/>
      <c r="E61" s="19">
        <v>-149092</v>
      </c>
      <c r="F61" s="16"/>
      <c r="G61" s="7"/>
    </row>
    <row r="62" spans="2:9" ht="20.25">
      <c r="B62" s="12" t="s">
        <v>46</v>
      </c>
      <c r="C62" s="16">
        <v>-64248</v>
      </c>
      <c r="D62" s="17"/>
      <c r="E62" s="19">
        <v>-64248</v>
      </c>
      <c r="F62" s="16"/>
      <c r="G62" s="7"/>
    </row>
    <row r="63" spans="2:9" ht="20.25">
      <c r="B63" s="12" t="s">
        <v>47</v>
      </c>
      <c r="C63" s="16">
        <v>0</v>
      </c>
      <c r="D63" s="17"/>
      <c r="E63" s="19">
        <v>97439</v>
      </c>
      <c r="F63" s="16"/>
      <c r="G63" s="7"/>
    </row>
    <row r="64" spans="2:9" ht="20.25">
      <c r="B64" s="12" t="s">
        <v>48</v>
      </c>
      <c r="C64" s="16">
        <f>SUM(C58:C63)</f>
        <v>2380813</v>
      </c>
      <c r="D64" s="17"/>
      <c r="E64" s="19">
        <f>SUM(E58:E63)</f>
        <v>2186390</v>
      </c>
      <c r="F64" s="16"/>
      <c r="G64" s="7"/>
    </row>
    <row r="65" spans="2:7" ht="20.25">
      <c r="B65" s="12" t="s">
        <v>49</v>
      </c>
      <c r="C65" s="16">
        <v>89025</v>
      </c>
      <c r="D65" s="17"/>
      <c r="E65" s="19">
        <v>77999</v>
      </c>
      <c r="F65" s="16"/>
      <c r="G65" s="7"/>
    </row>
    <row r="66" spans="2:7" ht="20.25">
      <c r="B66" s="12" t="s">
        <v>50</v>
      </c>
      <c r="C66" s="16">
        <f>C64+C65</f>
        <v>2469838</v>
      </c>
      <c r="D66" s="17"/>
      <c r="E66" s="19">
        <f>E64+E65</f>
        <v>2264389</v>
      </c>
      <c r="F66" s="16"/>
      <c r="G66" s="7"/>
    </row>
    <row r="67" spans="2:7" ht="20.25">
      <c r="B67" s="12"/>
      <c r="C67" s="16"/>
      <c r="D67" s="17"/>
      <c r="E67" s="19"/>
      <c r="F67" s="16"/>
      <c r="G67" s="7"/>
    </row>
    <row r="68" spans="2:7" ht="20.25">
      <c r="B68" s="13" t="s">
        <v>51</v>
      </c>
      <c r="C68" s="20">
        <f>C66+C55+C46</f>
        <v>3980105</v>
      </c>
      <c r="D68" s="17"/>
      <c r="E68" s="21">
        <f>E66+E55+E46</f>
        <v>3846392</v>
      </c>
      <c r="F68" s="20"/>
      <c r="G68" s="7"/>
    </row>
    <row r="69" spans="2:7" ht="20.25">
      <c r="B69" s="11"/>
      <c r="C69" s="11"/>
      <c r="D69" s="11"/>
      <c r="E69" s="22"/>
      <c r="F69" s="11"/>
    </row>
    <row r="70" spans="2:7" ht="20.25">
      <c r="B70" s="11"/>
      <c r="C70" s="11"/>
      <c r="D70" s="11"/>
      <c r="E70" s="11"/>
      <c r="F70" s="11"/>
      <c r="G70" s="8"/>
    </row>
    <row r="71" spans="2:7" ht="20.25">
      <c r="B71" s="13" t="s">
        <v>52</v>
      </c>
      <c r="C71" s="23">
        <v>2018</v>
      </c>
      <c r="D71" s="23" t="s">
        <v>3</v>
      </c>
      <c r="E71" s="23">
        <v>2017</v>
      </c>
      <c r="F71" s="23" t="s">
        <v>53</v>
      </c>
    </row>
    <row r="72" spans="2:7" ht="20.25">
      <c r="B72" s="12" t="s">
        <v>54</v>
      </c>
      <c r="C72" s="12"/>
      <c r="D72" s="12"/>
      <c r="E72" s="12"/>
      <c r="F72" s="12"/>
    </row>
    <row r="73" spans="2:7" ht="20.25">
      <c r="B73" s="12" t="s">
        <v>55</v>
      </c>
      <c r="C73" s="12">
        <v>3904509</v>
      </c>
      <c r="D73" s="12"/>
      <c r="E73" s="12">
        <v>3721863</v>
      </c>
      <c r="F73" s="24"/>
    </row>
    <row r="74" spans="2:7" ht="20.25">
      <c r="B74" s="12" t="s">
        <v>56</v>
      </c>
      <c r="C74" s="12">
        <v>-2191673</v>
      </c>
      <c r="D74" s="17"/>
      <c r="E74" s="12">
        <v>-2082261</v>
      </c>
      <c r="F74" s="24"/>
    </row>
    <row r="75" spans="2:7" ht="20.25">
      <c r="B75" s="13" t="s">
        <v>57</v>
      </c>
      <c r="C75" s="13">
        <f>C73+C74</f>
        <v>1712836</v>
      </c>
      <c r="D75" s="17"/>
      <c r="E75" s="13">
        <f>E73+E74</f>
        <v>1639602</v>
      </c>
      <c r="F75" s="24"/>
    </row>
    <row r="76" spans="2:7" ht="20.25">
      <c r="B76" s="12"/>
      <c r="C76" s="12"/>
      <c r="D76" s="17"/>
      <c r="E76" s="12"/>
      <c r="F76" s="24"/>
    </row>
    <row r="77" spans="2:7" ht="20.25">
      <c r="B77" s="12" t="s">
        <v>58</v>
      </c>
      <c r="C77" s="12"/>
      <c r="D77" s="17"/>
      <c r="E77" s="12"/>
      <c r="F77" s="24"/>
    </row>
    <row r="78" spans="2:7" ht="20.25">
      <c r="B78" s="12" t="s">
        <v>59</v>
      </c>
      <c r="C78" s="12">
        <v>-1108981</v>
      </c>
      <c r="D78" s="17"/>
      <c r="E78" s="12">
        <v>-1020857</v>
      </c>
      <c r="F78" s="24"/>
    </row>
    <row r="79" spans="2:7" ht="20.25">
      <c r="B79" s="12" t="s">
        <v>60</v>
      </c>
      <c r="C79" s="12">
        <v>-198631</v>
      </c>
      <c r="D79" s="17"/>
      <c r="E79" s="12">
        <v>-192953</v>
      </c>
      <c r="F79" s="24"/>
    </row>
    <row r="80" spans="2:7" ht="20.25">
      <c r="B80" s="12" t="s">
        <v>61</v>
      </c>
      <c r="C80" s="12">
        <v>-15877</v>
      </c>
      <c r="D80" s="17"/>
      <c r="E80" s="12">
        <v>-12185</v>
      </c>
      <c r="F80" s="24"/>
    </row>
    <row r="81" spans="2:6" ht="20.25">
      <c r="B81" s="12" t="s">
        <v>62</v>
      </c>
      <c r="C81" s="12">
        <v>0</v>
      </c>
      <c r="D81" s="17"/>
      <c r="E81" s="12">
        <v>0</v>
      </c>
      <c r="F81" s="24"/>
    </row>
    <row r="82" spans="2:6" ht="20.25">
      <c r="B82" s="12" t="s">
        <v>63</v>
      </c>
      <c r="C82" s="12">
        <v>68729</v>
      </c>
      <c r="D82" s="17"/>
      <c r="E82" s="12">
        <v>-34190</v>
      </c>
      <c r="F82" s="24"/>
    </row>
    <row r="83" spans="2:6" ht="20.25">
      <c r="B83" s="12"/>
      <c r="C83" s="12">
        <f>SUM(C78:C82)</f>
        <v>-1254760</v>
      </c>
      <c r="D83" s="17"/>
      <c r="E83" s="12">
        <f>SUM(E78:E82)</f>
        <v>-1260185</v>
      </c>
      <c r="F83" s="24"/>
    </row>
    <row r="84" spans="2:6" ht="20.25">
      <c r="B84" s="12"/>
      <c r="C84" s="12"/>
      <c r="D84" s="17"/>
      <c r="E84" s="12"/>
      <c r="F84" s="24"/>
    </row>
    <row r="85" spans="2:6" ht="20.25">
      <c r="B85" s="13" t="s">
        <v>64</v>
      </c>
      <c r="C85" s="13">
        <f>C75+C83</f>
        <v>458076</v>
      </c>
      <c r="D85" s="17"/>
      <c r="E85" s="13">
        <f>E75+E83</f>
        <v>379417</v>
      </c>
      <c r="F85" s="24"/>
    </row>
    <row r="86" spans="2:6" ht="20.25">
      <c r="B86" s="12" t="s">
        <v>65</v>
      </c>
      <c r="C86" s="12">
        <v>59188</v>
      </c>
      <c r="D86" s="17"/>
      <c r="E86" s="12">
        <v>40859</v>
      </c>
      <c r="F86" s="24"/>
    </row>
    <row r="87" spans="2:6" ht="20.25">
      <c r="B87" s="12" t="s">
        <v>66</v>
      </c>
      <c r="C87" s="12">
        <v>-98539</v>
      </c>
      <c r="D87" s="17"/>
      <c r="E87" s="12">
        <v>-97963</v>
      </c>
      <c r="F87" s="24"/>
    </row>
    <row r="88" spans="2:6" ht="20.25">
      <c r="B88" s="12" t="s">
        <v>67</v>
      </c>
      <c r="C88" s="12">
        <v>3551</v>
      </c>
      <c r="D88" s="17"/>
      <c r="E88" s="12">
        <v>3017</v>
      </c>
      <c r="F88" s="24"/>
    </row>
    <row r="89" spans="2:6" ht="20.25">
      <c r="B89" s="12" t="s">
        <v>68</v>
      </c>
      <c r="C89" s="12">
        <v>-10773</v>
      </c>
      <c r="D89" s="17"/>
      <c r="E89" s="12">
        <v>-2994</v>
      </c>
      <c r="F89" s="24"/>
    </row>
    <row r="90" spans="2:6" ht="20.25">
      <c r="B90" s="12" t="s">
        <v>69</v>
      </c>
      <c r="C90" s="12">
        <v>54838</v>
      </c>
      <c r="D90" s="17"/>
      <c r="E90" s="12">
        <v>0</v>
      </c>
      <c r="F90" s="24"/>
    </row>
    <row r="91" spans="2:6" ht="20.25">
      <c r="B91" s="12" t="s">
        <v>70</v>
      </c>
      <c r="C91" s="12">
        <v>-64728</v>
      </c>
      <c r="D91" s="17"/>
      <c r="E91" s="12">
        <v>-16541</v>
      </c>
      <c r="F91" s="24"/>
    </row>
    <row r="92" spans="2:6" ht="20.25">
      <c r="B92" s="12"/>
      <c r="C92" s="12">
        <f>SUM(C86:C91)</f>
        <v>-56463</v>
      </c>
      <c r="D92" s="17"/>
      <c r="E92" s="12">
        <f>SUM(E86:E91)</f>
        <v>-73622</v>
      </c>
      <c r="F92" s="24"/>
    </row>
    <row r="93" spans="2:6" ht="20.25">
      <c r="B93" s="12"/>
      <c r="C93" s="12"/>
      <c r="D93" s="17"/>
      <c r="E93" s="12"/>
      <c r="F93" s="24"/>
    </row>
    <row r="94" spans="2:6" ht="20.25">
      <c r="B94" s="13" t="s">
        <v>71</v>
      </c>
      <c r="C94" s="13">
        <f>C85+SUM(C86:C91)</f>
        <v>401613</v>
      </c>
      <c r="D94" s="17"/>
      <c r="E94" s="13">
        <f>E85+SUM(E86:E91)</f>
        <v>305795</v>
      </c>
      <c r="F94" s="24"/>
    </row>
    <row r="95" spans="2:6" ht="20.25">
      <c r="B95" s="12"/>
      <c r="C95" s="12"/>
      <c r="D95" s="17"/>
      <c r="E95" s="12"/>
      <c r="F95" s="24"/>
    </row>
    <row r="96" spans="2:6" ht="20.25">
      <c r="B96" s="12" t="s">
        <v>72</v>
      </c>
      <c r="C96" s="12">
        <f>-49038-28534</f>
        <v>-77572</v>
      </c>
      <c r="D96" s="17"/>
      <c r="E96" s="12">
        <f>7381+39060</f>
        <v>46441</v>
      </c>
      <c r="F96" s="24"/>
    </row>
    <row r="97" spans="2:6" ht="20.25">
      <c r="B97" s="12"/>
      <c r="C97" s="12"/>
      <c r="D97" s="17"/>
      <c r="E97" s="12"/>
      <c r="F97" s="24"/>
    </row>
    <row r="98" spans="2:6" ht="20.25">
      <c r="B98" s="13" t="s">
        <v>73</v>
      </c>
      <c r="C98" s="13">
        <f>C94+C96</f>
        <v>324041</v>
      </c>
      <c r="D98" s="17"/>
      <c r="E98" s="13">
        <f>E94+E96</f>
        <v>352236</v>
      </c>
      <c r="F98" s="24"/>
    </row>
    <row r="99" spans="2:6" ht="20.25">
      <c r="B99" s="12"/>
      <c r="C99" s="12"/>
      <c r="D99" s="17"/>
      <c r="E99" s="12"/>
      <c r="F99" s="24"/>
    </row>
    <row r="100" spans="2:6" ht="20.25">
      <c r="B100" s="12" t="s">
        <v>74</v>
      </c>
      <c r="C100" s="12">
        <v>0</v>
      </c>
      <c r="D100" s="17"/>
      <c r="E100" s="12">
        <v>-1674</v>
      </c>
      <c r="F100" s="24"/>
    </row>
    <row r="101" spans="2:6" ht="20.25">
      <c r="B101" s="12"/>
      <c r="C101" s="12"/>
      <c r="D101" s="17"/>
      <c r="E101" s="12"/>
      <c r="F101" s="24"/>
    </row>
    <row r="102" spans="2:6" ht="20.25">
      <c r="B102" s="13" t="s">
        <v>75</v>
      </c>
      <c r="C102" s="13">
        <f>C98+C100</f>
        <v>324041</v>
      </c>
      <c r="D102" s="17"/>
      <c r="E102" s="13">
        <f>E98+E100</f>
        <v>350562</v>
      </c>
      <c r="F102" s="24"/>
    </row>
    <row r="103" spans="2:6" ht="20.25">
      <c r="B103" s="12"/>
      <c r="C103" s="12"/>
      <c r="D103" s="12"/>
      <c r="E103" s="12"/>
      <c r="F103" s="12"/>
    </row>
    <row r="104" spans="2:6" ht="20.25">
      <c r="B104" s="11"/>
      <c r="C104" s="11"/>
      <c r="D104" s="11"/>
      <c r="E104" s="11"/>
      <c r="F104" s="11"/>
    </row>
    <row r="105" spans="2:6" ht="20.25">
      <c r="B105" s="35" t="s">
        <v>76</v>
      </c>
      <c r="C105" s="36"/>
      <c r="D105" s="35" t="s">
        <v>77</v>
      </c>
      <c r="E105" s="36"/>
      <c r="F105" s="25" t="s">
        <v>78</v>
      </c>
    </row>
    <row r="106" spans="2:6" ht="20.25">
      <c r="B106" s="38" t="s">
        <v>79</v>
      </c>
      <c r="C106" s="38"/>
      <c r="D106" s="38" t="s">
        <v>80</v>
      </c>
      <c r="E106" s="38"/>
      <c r="F106" s="26">
        <f>C17/C46</f>
        <v>2.0604444597752694</v>
      </c>
    </row>
    <row r="107" spans="2:6" ht="20.25">
      <c r="B107" s="38" t="s">
        <v>81</v>
      </c>
      <c r="C107" s="38"/>
      <c r="D107" s="38" t="s">
        <v>82</v>
      </c>
      <c r="E107" s="38"/>
      <c r="F107" s="26">
        <f xml:space="preserve"> ( C17 - C12 )/ C46</f>
        <v>1.4306378868757599</v>
      </c>
    </row>
    <row r="108" spans="2:6" ht="20.25">
      <c r="B108" s="38" t="s">
        <v>83</v>
      </c>
      <c r="C108" s="38"/>
      <c r="D108" s="38" t="s">
        <v>84</v>
      </c>
      <c r="E108" s="38"/>
      <c r="F108" s="26">
        <f>( C9 + C10 ) / C46</f>
        <v>0.46648269676874121</v>
      </c>
    </row>
    <row r="109" spans="2:6" ht="20.25">
      <c r="B109" s="38" t="s">
        <v>85</v>
      </c>
      <c r="C109" s="38"/>
      <c r="D109" s="38" t="s">
        <v>86</v>
      </c>
      <c r="E109" s="38"/>
      <c r="F109" s="26">
        <f xml:space="preserve"> ( C12 + C20 ) / ( C46 + C55 )</f>
        <v>0.4856048632460353</v>
      </c>
    </row>
    <row r="110" spans="2:6" ht="20.25">
      <c r="B110" s="11"/>
      <c r="C110" s="11"/>
      <c r="D110" s="11"/>
      <c r="E110" s="11"/>
      <c r="F110" s="11"/>
    </row>
    <row r="111" spans="2:6" ht="20.25">
      <c r="B111" s="11"/>
      <c r="C111" s="11"/>
      <c r="D111" s="11"/>
      <c r="E111" s="11"/>
      <c r="F111" s="11"/>
    </row>
    <row r="112" spans="2:6" ht="20.25">
      <c r="B112" s="35" t="s">
        <v>87</v>
      </c>
      <c r="C112" s="36"/>
      <c r="D112" s="35" t="s">
        <v>77</v>
      </c>
      <c r="E112" s="36"/>
      <c r="F112" s="27"/>
    </row>
    <row r="113" spans="2:10" ht="20.25">
      <c r="B113" s="38" t="s">
        <v>88</v>
      </c>
      <c r="C113" s="38"/>
      <c r="D113" s="38" t="s">
        <v>89</v>
      </c>
      <c r="E113" s="38"/>
      <c r="F113" s="28">
        <f xml:space="preserve"> ( C46 + C55 ) / C68</f>
        <v>0.37945405962908013</v>
      </c>
    </row>
    <row r="114" spans="2:10" ht="20.25">
      <c r="B114" s="38" t="s">
        <v>90</v>
      </c>
      <c r="C114" s="38"/>
      <c r="D114" s="38" t="s">
        <v>91</v>
      </c>
      <c r="E114" s="38"/>
      <c r="F114" s="28">
        <f xml:space="preserve"> ( C46 + C55 ) / C66</f>
        <v>0.61148423499840876</v>
      </c>
    </row>
    <row r="115" spans="2:10" ht="20.25">
      <c r="B115" s="38" t="s">
        <v>92</v>
      </c>
      <c r="C115" s="38"/>
      <c r="D115" s="38" t="s">
        <v>93</v>
      </c>
      <c r="E115" s="38"/>
      <c r="F115" s="28">
        <f xml:space="preserve"> C27 / C66</f>
        <v>0.3120536650581941</v>
      </c>
    </row>
    <row r="116" spans="2:10" ht="20.25">
      <c r="B116" s="38" t="s">
        <v>94</v>
      </c>
      <c r="C116" s="38"/>
      <c r="D116" s="38" t="s">
        <v>95</v>
      </c>
      <c r="E116" s="38"/>
      <c r="F116" s="28">
        <f xml:space="preserve"> C85 / C87</f>
        <v>-4.6486771735049066</v>
      </c>
    </row>
    <row r="117" spans="2:10" ht="20.25">
      <c r="B117" s="38" t="s">
        <v>96</v>
      </c>
      <c r="C117" s="38"/>
      <c r="D117" s="38" t="s">
        <v>97</v>
      </c>
      <c r="E117" s="38"/>
      <c r="F117" s="28">
        <f xml:space="preserve"> ( C46 + C55 ) / C17</f>
        <v>0.63209283676639971</v>
      </c>
    </row>
    <row r="118" spans="2:10" ht="20.25">
      <c r="B118" s="38" t="s">
        <v>98</v>
      </c>
      <c r="C118" s="38"/>
      <c r="D118" s="38" t="s">
        <v>99</v>
      </c>
      <c r="E118" s="38"/>
      <c r="F118" s="28">
        <f xml:space="preserve"> C46 / ( C46 + C55 )</f>
        <v>0.76781787591200756</v>
      </c>
      <c r="G118" s="1"/>
    </row>
    <row r="119" spans="2:10" ht="20.25">
      <c r="B119" s="39" t="s">
        <v>100</v>
      </c>
      <c r="C119" s="39"/>
      <c r="D119" s="35" t="s">
        <v>77</v>
      </c>
      <c r="E119" s="36"/>
      <c r="F119" s="27"/>
    </row>
    <row r="120" spans="2:10" ht="20.25">
      <c r="B120" s="38" t="s">
        <v>101</v>
      </c>
      <c r="C120" s="38"/>
      <c r="D120" s="38" t="s">
        <v>102</v>
      </c>
      <c r="E120" s="38"/>
      <c r="F120" s="29">
        <f xml:space="preserve"> ( ( C12 + E12 ) / 2 ) /  C74 * (-360)</f>
        <v>117.36987223915247</v>
      </c>
    </row>
    <row r="121" spans="2:10" ht="20.25">
      <c r="B121" s="38" t="s">
        <v>103</v>
      </c>
      <c r="C121" s="38"/>
      <c r="D121" s="38" t="s">
        <v>104</v>
      </c>
      <c r="E121" s="38"/>
      <c r="F121" s="29">
        <f xml:space="preserve"> ( C11 / C73 ) * 360</f>
        <v>89.665471381933045</v>
      </c>
      <c r="G121" s="9"/>
    </row>
    <row r="122" spans="2:10" ht="20.25">
      <c r="B122" s="38" t="s">
        <v>105</v>
      </c>
      <c r="C122" s="38"/>
      <c r="D122" s="12" t="s">
        <v>106</v>
      </c>
      <c r="E122" s="12"/>
      <c r="F122" s="30">
        <f xml:space="preserve"> ( C37 / 2160104  ) * 360</f>
        <v>74.841229866710123</v>
      </c>
    </row>
    <row r="123" spans="2:10" ht="20.25">
      <c r="B123" s="38" t="s">
        <v>107</v>
      </c>
      <c r="C123" s="38"/>
      <c r="D123" s="38" t="s">
        <v>108</v>
      </c>
      <c r="E123" s="38"/>
      <c r="F123" s="32">
        <f xml:space="preserve"> 360 / 117</f>
        <v>3.0769230769230771</v>
      </c>
    </row>
    <row r="124" spans="2:10" ht="20.25">
      <c r="B124" s="38" t="s">
        <v>109</v>
      </c>
      <c r="C124" s="38"/>
      <c r="D124" s="38" t="s">
        <v>110</v>
      </c>
      <c r="E124" s="38"/>
      <c r="F124" s="30">
        <f xml:space="preserve"> 360 / 89.7</f>
        <v>4.0133779264214047</v>
      </c>
    </row>
    <row r="125" spans="2:10" ht="20.25">
      <c r="B125" s="38" t="s">
        <v>111</v>
      </c>
      <c r="C125" s="38"/>
      <c r="D125" s="38" t="s">
        <v>112</v>
      </c>
      <c r="E125" s="38"/>
      <c r="F125" s="31">
        <f xml:space="preserve"> 360 / 74.84122987</f>
        <v>4.8101828447411101</v>
      </c>
      <c r="G125" s="9"/>
    </row>
    <row r="126" spans="2:10" ht="20.25">
      <c r="B126" s="38" t="s">
        <v>113</v>
      </c>
      <c r="C126" s="38"/>
      <c r="D126" s="38" t="s">
        <v>114</v>
      </c>
      <c r="E126" s="38"/>
      <c r="F126" s="30">
        <f xml:space="preserve"> 117 + 89.7 - 74.84122987</f>
        <v>131.85877012999998</v>
      </c>
      <c r="I126" s="10"/>
      <c r="J126" s="9"/>
    </row>
  </sheetData>
  <mergeCells count="42">
    <mergeCell ref="D126:E126"/>
    <mergeCell ref="B119:C119"/>
    <mergeCell ref="D119:E119"/>
    <mergeCell ref="B120:C120"/>
    <mergeCell ref="D120:E120"/>
    <mergeCell ref="B121:C121"/>
    <mergeCell ref="D121:E121"/>
    <mergeCell ref="B122:C122"/>
    <mergeCell ref="B123:C123"/>
    <mergeCell ref="D123:E123"/>
    <mergeCell ref="B124:C124"/>
    <mergeCell ref="D124:E124"/>
    <mergeCell ref="B125:C125"/>
    <mergeCell ref="D125:E125"/>
    <mergeCell ref="B126:C126"/>
    <mergeCell ref="B117:C117"/>
    <mergeCell ref="D117:E117"/>
    <mergeCell ref="B118:C118"/>
    <mergeCell ref="D118:E118"/>
    <mergeCell ref="B114:C114"/>
    <mergeCell ref="D114:E114"/>
    <mergeCell ref="B115:C115"/>
    <mergeCell ref="D115:E115"/>
    <mergeCell ref="B116:C116"/>
    <mergeCell ref="D116:E116"/>
    <mergeCell ref="B109:C109"/>
    <mergeCell ref="D109:E109"/>
    <mergeCell ref="B112:C112"/>
    <mergeCell ref="D112:E112"/>
    <mergeCell ref="B113:C113"/>
    <mergeCell ref="D113:E113"/>
    <mergeCell ref="B106:C106"/>
    <mergeCell ref="D106:E106"/>
    <mergeCell ref="B107:C107"/>
    <mergeCell ref="D107:E107"/>
    <mergeCell ref="B108:C108"/>
    <mergeCell ref="D108:E108"/>
    <mergeCell ref="B4:F4"/>
    <mergeCell ref="B5:F5"/>
    <mergeCell ref="B105:C105"/>
    <mergeCell ref="D105:E105"/>
    <mergeCell ref="B2:F3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825277EFCBEEA44ACDA2F4B7A58276A" ma:contentTypeVersion="1" ma:contentTypeDescription="Crie um novo documento." ma:contentTypeScope="" ma:versionID="358bff6b5ba3c463877e95ce71af70cc">
  <xsd:schema xmlns:xsd="http://www.w3.org/2001/XMLSchema" xmlns:xs="http://www.w3.org/2001/XMLSchema" xmlns:p="http://schemas.microsoft.com/office/2006/metadata/properties" xmlns:ns2="9a1eef70-bbe8-46a1-9d91-d5c59c88dc14" targetNamespace="http://schemas.microsoft.com/office/2006/metadata/properties" ma:root="true" ma:fieldsID="d733251727a95c13b2cacf3fcca02642" ns2:_="">
    <xsd:import namespace="9a1eef70-bbe8-46a1-9d91-d5c59c88dc14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eef70-bbe8-46a1-9d91-d5c59c88dc14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9a1eef70-bbe8-46a1-9d91-d5c59c88dc14" xsi:nil="true"/>
  </documentManagement>
</p:properties>
</file>

<file path=customXml/itemProps1.xml><?xml version="1.0" encoding="utf-8"?>
<ds:datastoreItem xmlns:ds="http://schemas.openxmlformats.org/officeDocument/2006/customXml" ds:itemID="{57DFDCD2-6E9F-4DDF-8DAE-7F0D323DBABD}"/>
</file>

<file path=customXml/itemProps2.xml><?xml version="1.0" encoding="utf-8"?>
<ds:datastoreItem xmlns:ds="http://schemas.openxmlformats.org/officeDocument/2006/customXml" ds:itemID="{8827A72E-1572-48D6-A66E-CBC9F1B0A2EF}"/>
</file>

<file path=customXml/itemProps3.xml><?xml version="1.0" encoding="utf-8"?>
<ds:datastoreItem xmlns:ds="http://schemas.openxmlformats.org/officeDocument/2006/customXml" ds:itemID="{60EB003F-C72E-4B12-BD91-0C4742BD09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10</dc:creator>
  <cp:keywords/>
  <dc:description/>
  <cp:lastModifiedBy/>
  <cp:revision/>
  <dcterms:created xsi:type="dcterms:W3CDTF">2021-03-02T22:21:34Z</dcterms:created>
  <dcterms:modified xsi:type="dcterms:W3CDTF">2025-05-29T01:10:26Z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0x0101003825277EFCBEEA44ACDA2F4B7A58276A</vt:lpwstr>
  </property>
</Properties>
</file>