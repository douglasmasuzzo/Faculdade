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OneDrive\Documentos\"/>
    </mc:Choice>
  </mc:AlternateContent>
  <xr:revisionPtr revIDLastSave="0" documentId="13_ncr:1_{92646019-FF96-44ED-A762-5BD52E73A9CA}" xr6:coauthVersionLast="47" xr6:coauthVersionMax="47" xr10:uidLastSave="{00000000-0000-0000-0000-000000000000}"/>
  <bookViews>
    <workbookView xWindow="-120" yWindow="-120" windowWidth="20730" windowHeight="11760" activeTab="1" xr2:uid="{160EDD57-D7D0-4D84-88D5-BD70C31E911F}"/>
  </bookViews>
  <sheets>
    <sheet name="EX1" sheetId="1" r:id="rId1"/>
    <sheet name="EX2" sheetId="2" r:id="rId2"/>
  </sheets>
  <calcPr calcId="191029" iterate="1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2" l="1"/>
  <c r="F36" i="2"/>
  <c r="D36" i="2"/>
  <c r="C26" i="2"/>
  <c r="D26" i="2"/>
  <c r="E26" i="2"/>
  <c r="F26" i="2"/>
  <c r="F31" i="2" s="1"/>
  <c r="B26" i="2"/>
  <c r="C31" i="2"/>
  <c r="D31" i="2"/>
  <c r="E31" i="2"/>
  <c r="C30" i="2"/>
  <c r="D30" i="2"/>
  <c r="E30" i="2"/>
  <c r="F30" i="2"/>
  <c r="C25" i="2"/>
  <c r="D25" i="2"/>
  <c r="E25" i="2"/>
  <c r="F25" i="2"/>
  <c r="C24" i="2"/>
  <c r="D24" i="2"/>
  <c r="E24" i="2"/>
  <c r="F24" i="2"/>
  <c r="B25" i="2"/>
  <c r="B24" i="2"/>
  <c r="F21" i="2" l="1"/>
  <c r="F20" i="2"/>
  <c r="F19" i="2"/>
  <c r="F18" i="2"/>
  <c r="D18" i="2"/>
  <c r="E18" i="2"/>
  <c r="C18" i="2"/>
  <c r="E19" i="2"/>
  <c r="C19" i="2"/>
  <c r="B19" i="2"/>
  <c r="B20" i="2"/>
  <c r="D20" i="2"/>
  <c r="E20" i="2"/>
  <c r="E21" i="2"/>
  <c r="D21" i="2"/>
  <c r="C21" i="2"/>
  <c r="M3" i="1" l="1"/>
  <c r="I5" i="1"/>
  <c r="M4" i="2" l="1"/>
  <c r="M5" i="2"/>
  <c r="M6" i="2"/>
  <c r="M7" i="2"/>
  <c r="M8" i="2"/>
  <c r="M9" i="2"/>
  <c r="M10" i="2"/>
  <c r="M11" i="2"/>
  <c r="M12" i="2"/>
  <c r="M3" i="2"/>
  <c r="N4" i="2"/>
  <c r="N5" i="2"/>
  <c r="N6" i="2"/>
  <c r="N7" i="2"/>
  <c r="N8" i="2"/>
  <c r="N9" i="2"/>
  <c r="N10" i="2"/>
  <c r="N11" i="2"/>
  <c r="N12" i="2"/>
  <c r="G4" i="2"/>
  <c r="G5" i="2"/>
  <c r="G6" i="2"/>
  <c r="G7" i="2"/>
  <c r="G8" i="2"/>
  <c r="G9" i="2"/>
  <c r="G10" i="2"/>
  <c r="G11" i="2"/>
  <c r="G12" i="2"/>
  <c r="I4" i="2"/>
  <c r="I5" i="2"/>
  <c r="I6" i="2"/>
  <c r="I7" i="2"/>
  <c r="I8" i="2"/>
  <c r="I9" i="2"/>
  <c r="I10" i="2"/>
  <c r="I11" i="2"/>
  <c r="I12" i="2"/>
  <c r="F4" i="2"/>
  <c r="F5" i="2"/>
  <c r="F6" i="2"/>
  <c r="F7" i="2"/>
  <c r="F8" i="2"/>
  <c r="F9" i="2"/>
  <c r="F10" i="2"/>
  <c r="F11" i="2"/>
  <c r="F12" i="2"/>
  <c r="H4" i="2"/>
  <c r="H5" i="2"/>
  <c r="H6" i="2"/>
  <c r="H7" i="2"/>
  <c r="H8" i="2"/>
  <c r="H9" i="2"/>
  <c r="H10" i="2"/>
  <c r="H11" i="2"/>
  <c r="H12" i="2"/>
  <c r="J4" i="2"/>
  <c r="J5" i="2"/>
  <c r="J6" i="2"/>
  <c r="J7" i="2"/>
  <c r="J8" i="2"/>
  <c r="J9" i="2"/>
  <c r="J10" i="2"/>
  <c r="J11" i="2"/>
  <c r="J12" i="2"/>
  <c r="N3" i="2"/>
  <c r="Q4" i="1"/>
  <c r="O4" i="1"/>
  <c r="M4" i="1"/>
  <c r="O3" i="1"/>
  <c r="K3" i="2"/>
  <c r="K4" i="2"/>
  <c r="K5" i="2"/>
  <c r="K6" i="2"/>
  <c r="K7" i="2"/>
  <c r="K8" i="2"/>
  <c r="K9" i="2"/>
  <c r="K10" i="2"/>
  <c r="K11" i="2"/>
  <c r="K12" i="2"/>
  <c r="L3" i="2"/>
  <c r="L4" i="2"/>
  <c r="L5" i="2"/>
  <c r="L6" i="2"/>
  <c r="L7" i="2"/>
  <c r="L8" i="2"/>
  <c r="L9" i="2"/>
  <c r="L10" i="2"/>
  <c r="L11" i="2"/>
  <c r="L12" i="2"/>
  <c r="E3" i="2"/>
  <c r="E4" i="2"/>
  <c r="E5" i="2"/>
  <c r="E6" i="2"/>
  <c r="E7" i="2"/>
  <c r="E8" i="2"/>
  <c r="E9" i="2"/>
  <c r="E10" i="2"/>
  <c r="E11" i="2"/>
  <c r="E12" i="2"/>
  <c r="G3" i="2"/>
  <c r="D3" i="2"/>
  <c r="D4" i="2"/>
  <c r="D5" i="2"/>
  <c r="D6" i="2"/>
  <c r="D7" i="2"/>
  <c r="D8" i="2"/>
  <c r="D9" i="2"/>
  <c r="D10" i="2"/>
  <c r="D11" i="2"/>
  <c r="D12" i="2"/>
  <c r="I3" i="2"/>
  <c r="F3" i="2"/>
  <c r="H3" i="2"/>
  <c r="J3" i="2"/>
  <c r="P35" i="2"/>
  <c r="P36" i="2"/>
  <c r="P37" i="2"/>
  <c r="P38" i="2"/>
  <c r="Q38" i="2" s="1"/>
  <c r="R38" i="2" s="1"/>
  <c r="P39" i="2"/>
  <c r="P40" i="2"/>
  <c r="P41" i="2"/>
  <c r="P42" i="2"/>
  <c r="Q42" i="2" s="1"/>
  <c r="R42" i="2" s="1"/>
  <c r="P43" i="2"/>
  <c r="P34" i="2"/>
  <c r="Q34" i="2" s="1"/>
  <c r="R34" i="2" s="1"/>
  <c r="C14" i="2"/>
  <c r="B14" i="2"/>
  <c r="I3" i="1"/>
  <c r="I6" i="1"/>
  <c r="C14" i="1"/>
  <c r="B14" i="1"/>
  <c r="F3" i="1"/>
  <c r="F4" i="1"/>
  <c r="F5" i="1"/>
  <c r="F6" i="1"/>
  <c r="F7" i="1"/>
  <c r="F8" i="1"/>
  <c r="F9" i="1"/>
  <c r="F10" i="1"/>
  <c r="F11" i="1"/>
  <c r="F12" i="1"/>
  <c r="E3" i="1"/>
  <c r="E4" i="1"/>
  <c r="E5" i="1"/>
  <c r="E6" i="1"/>
  <c r="E7" i="1"/>
  <c r="E8" i="1"/>
  <c r="E9" i="1"/>
  <c r="E10" i="1"/>
  <c r="E11" i="1"/>
  <c r="E12" i="1"/>
  <c r="D3" i="1"/>
  <c r="D4" i="1"/>
  <c r="D5" i="1"/>
  <c r="D6" i="1"/>
  <c r="D7" i="1"/>
  <c r="D8" i="1"/>
  <c r="D9" i="1"/>
  <c r="D10" i="1"/>
  <c r="D11" i="1"/>
  <c r="D12" i="1"/>
  <c r="K14" i="2" l="1"/>
  <c r="L14" i="2"/>
  <c r="Q43" i="2"/>
  <c r="R43" i="2" s="1"/>
  <c r="Q35" i="2"/>
  <c r="R35" i="2" s="1"/>
  <c r="M14" i="2"/>
  <c r="Q39" i="2"/>
  <c r="R39" i="2" s="1"/>
  <c r="Q37" i="2"/>
  <c r="R37" i="2" s="1"/>
  <c r="Q36" i="2"/>
  <c r="Q40" i="2"/>
  <c r="Q41" i="2"/>
  <c r="H14" i="2"/>
  <c r="E14" i="2"/>
  <c r="D14" i="2"/>
  <c r="B18" i="2" s="1"/>
  <c r="J14" i="2"/>
  <c r="F14" i="2"/>
  <c r="I14" i="2"/>
  <c r="G14" i="2"/>
  <c r="N14" i="2"/>
  <c r="D14" i="1"/>
  <c r="F14" i="1"/>
  <c r="E14" i="1"/>
  <c r="B21" i="2" l="1"/>
  <c r="I20" i="2" s="1"/>
  <c r="D19" i="2"/>
  <c r="E23" i="2"/>
  <c r="I18" i="2"/>
  <c r="I19" i="2"/>
  <c r="F28" i="2"/>
  <c r="F33" i="2" s="1"/>
  <c r="F23" i="2"/>
  <c r="C20" i="2"/>
  <c r="R36" i="2"/>
  <c r="R40" i="2"/>
  <c r="R41" i="2"/>
  <c r="Q3" i="1"/>
  <c r="I4" i="1" s="1"/>
  <c r="E28" i="2" l="1"/>
  <c r="E33" i="2" s="1"/>
  <c r="B30" i="2"/>
  <c r="B35" i="2" s="1"/>
  <c r="B23" i="2"/>
  <c r="B28" i="2"/>
  <c r="B33" i="2" s="1"/>
  <c r="D28" i="2"/>
  <c r="D33" i="2" s="1"/>
  <c r="D23" i="2"/>
  <c r="C28" i="2"/>
  <c r="C33" i="2" s="1"/>
  <c r="C23" i="2"/>
  <c r="I7" i="1"/>
  <c r="B31" i="2" l="1"/>
  <c r="B36" i="2" s="1"/>
  <c r="D29" i="2"/>
  <c r="D34" i="2" s="1"/>
  <c r="B29" i="2"/>
  <c r="B34" i="2" s="1"/>
  <c r="F29" i="2"/>
  <c r="F34" i="2" s="1"/>
  <c r="C29" i="2"/>
  <c r="C34" i="2" s="1"/>
  <c r="E29" i="2"/>
  <c r="E34" i="2" s="1"/>
  <c r="I24" i="2" l="1"/>
  <c r="I23" i="2"/>
  <c r="F35" i="2" l="1"/>
  <c r="D35" i="2"/>
  <c r="C36" i="2"/>
  <c r="E35" i="2"/>
  <c r="C35" i="2"/>
  <c r="I28" i="2" l="1"/>
  <c r="R3" i="2" l="1"/>
  <c r="R4" i="2" s="1"/>
  <c r="R5" i="2" s="1"/>
  <c r="R6" i="2" s="1"/>
</calcChain>
</file>

<file path=xl/sharedStrings.xml><?xml version="1.0" encoding="utf-8"?>
<sst xmlns="http://schemas.openxmlformats.org/spreadsheetml/2006/main" count="77" uniqueCount="53">
  <si>
    <t>X</t>
  </si>
  <si>
    <t>Y</t>
  </si>
  <si>
    <t>XY</t>
  </si>
  <si>
    <t>Fonte:xxx</t>
  </si>
  <si>
    <t>r=</t>
  </si>
  <si>
    <t>a=</t>
  </si>
  <si>
    <t>x̄=</t>
  </si>
  <si>
    <t>ȳ=</t>
  </si>
  <si>
    <t>b=</t>
  </si>
  <si>
    <t>A</t>
  </si>
  <si>
    <t>B</t>
  </si>
  <si>
    <t>=</t>
  </si>
  <si>
    <t>/</t>
  </si>
  <si>
    <t>Y=</t>
  </si>
  <si>
    <t>aX+b</t>
  </si>
  <si>
    <t>G1Y</t>
  </si>
  <si>
    <t>G2Y</t>
  </si>
  <si>
    <t>G3Y</t>
  </si>
  <si>
    <t>X²</t>
  </si>
  <si>
    <t>Y²</t>
  </si>
  <si>
    <t>X²Y</t>
  </si>
  <si>
    <t>1²</t>
  </si>
  <si>
    <t>X⁴</t>
  </si>
  <si>
    <t>X³</t>
  </si>
  <si>
    <t>G2G4</t>
  </si>
  <si>
    <t>X^6</t>
  </si>
  <si>
    <t>X^5</t>
  </si>
  <si>
    <t>G4G4</t>
  </si>
  <si>
    <t>X³Y</t>
  </si>
  <si>
    <t>G4Y</t>
  </si>
  <si>
    <t>M1=</t>
  </si>
  <si>
    <t>P(X)=Y</t>
  </si>
  <si>
    <t>Linha 1</t>
  </si>
  <si>
    <t>Linha 2</t>
  </si>
  <si>
    <t>Linha 3</t>
  </si>
  <si>
    <t>Linha 4</t>
  </si>
  <si>
    <t>Linha 4 (d)=</t>
  </si>
  <si>
    <t>Linha 3 (c)=</t>
  </si>
  <si>
    <t>Linha 2 (b)=</t>
  </si>
  <si>
    <t>Linha 1 (a)=</t>
  </si>
  <si>
    <t>M2=</t>
  </si>
  <si>
    <t>M3=</t>
  </si>
  <si>
    <t>Eliminação de Gauss</t>
  </si>
  <si>
    <t>P(x)=</t>
  </si>
  <si>
    <t>a+bx+cx²+dx³</t>
  </si>
  <si>
    <t>C</t>
  </si>
  <si>
    <t>D</t>
  </si>
  <si>
    <t>E</t>
  </si>
  <si>
    <t>G1</t>
  </si>
  <si>
    <t>G4</t>
  </si>
  <si>
    <t>G3</t>
  </si>
  <si>
    <t>G2</t>
  </si>
  <si>
    <t>G3G2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</si>
</sst>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right"/>
    </xf>
    <xf numFmtId="0" fontId="0" fillId="6" borderId="3" xfId="0" applyFill="1" applyBorder="1" applyAlignment="1">
      <alignment horizontal="center"/>
    </xf>
    <xf numFmtId="0" fontId="0" fillId="4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/>
    <xf numFmtId="0" fontId="0" fillId="5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3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7CD6E1-F272-45A6-838F-5E62C94E626A}" name="Tabela6" displayName="Tabela6" ref="B2:F12" headerRowDxfId="32">
  <autoFilter ref="B2:F12" xr:uid="{B77CD6E1-F272-45A6-838F-5E62C94E626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08E8E77-B6D8-493F-A31D-7B204ECC9F9C}" name="X" totalsRowLabel="Total" dataDxfId="31"/>
    <tableColumn id="2" xr3:uid="{F12DFA93-4847-4F16-BC5B-F434DA090CC5}" name="Y" dataDxfId="30"/>
    <tableColumn id="3" xr3:uid="{E281F553-008C-4EBB-ABEA-04E4F973DAF9}" name="XY" dataDxfId="29">
      <calculatedColumnFormula>B3*C3</calculatedColumnFormula>
    </tableColumn>
    <tableColumn id="4" xr3:uid="{7ED31239-3CBA-4EE7-B719-FD324C27169B}" name="X²" dataDxfId="28">
      <calculatedColumnFormula>B3^2</calculatedColumnFormula>
    </tableColumn>
    <tableColumn id="5" xr3:uid="{8FAC19C2-C457-425D-869B-38E30B82D1BB}" name="Y²" totalsRowFunction="count" dataDxfId="27">
      <calculatedColumnFormula>C3^2</calculatedColumnFormula>
    </tableColumn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A4521E-DCDB-4D19-A09E-F4C95C200ADA}" name="Tabela7" displayName="Tabela7" ref="B2:N12" totalsRowShown="0" headerRowDxfId="26">
  <autoFilter ref="B2:N12" xr:uid="{85A4521E-DCDB-4D19-A09E-F4C95C200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B265EC1-8ED7-4C7D-A8DF-CE65A3BE80B9}" name="X" dataDxfId="25"/>
    <tableColumn id="2" xr3:uid="{5DC359FE-7030-4F14-BFDA-BB12624A33BA}" name="Y" dataDxfId="24"/>
    <tableColumn id="3" xr3:uid="{31E84FFA-CEB9-427E-AEFC-EA48051D9557}" name="G1" dataDxfId="23">
      <calculatedColumnFormula>1^2</calculatedColumnFormula>
    </tableColumn>
    <tableColumn id="4" xr3:uid="{7318D7A6-6CDC-4697-8CA5-BCFA0A4CA1DD}" name="G2" dataDxfId="22">
      <calculatedColumnFormula>B3</calculatedColumnFormula>
    </tableColumn>
    <tableColumn id="5" xr3:uid="{68F5D201-5DC0-4894-8251-39882F4B31F5}" name="G2G4" dataDxfId="21">
      <calculatedColumnFormula>B3^4</calculatedColumnFormula>
    </tableColumn>
    <tableColumn id="6" xr3:uid="{9389B48D-80C6-414A-ADB5-D3514E17501E}" name="G3" dataDxfId="20">
      <calculatedColumnFormula>B3^2</calculatedColumnFormula>
    </tableColumn>
    <tableColumn id="7" xr3:uid="{7EDA902D-1829-4642-9688-CE56D7162B5C}" name="G3G2" dataDxfId="19">
      <calculatedColumnFormula>B3^5</calculatedColumnFormula>
    </tableColumn>
    <tableColumn id="8" xr3:uid="{923BAA38-59A4-4262-B478-A65CF2E384C1}" name="G4" dataDxfId="18">
      <calculatedColumnFormula>B3^3</calculatedColumnFormula>
    </tableColumn>
    <tableColumn id="9" xr3:uid="{4966B0EE-EF5C-4DD6-AEF8-215323D387BA}" name="G4G4" dataDxfId="17">
      <calculatedColumnFormula>B3^6</calculatedColumnFormula>
    </tableColumn>
    <tableColumn id="10" xr3:uid="{DA707256-654A-4AEA-A488-5226980FA3FC}" name="G1Y" dataDxfId="16">
      <calculatedColumnFormula>C3</calculatedColumnFormula>
    </tableColumn>
    <tableColumn id="14" xr3:uid="{E075ECCC-2B53-48FC-BE63-12CF237E7BBD}" name="G2Y" dataDxfId="15">
      <calculatedColumnFormula>B3*C3</calculatedColumnFormula>
    </tableColumn>
    <tableColumn id="15" xr3:uid="{C764EABC-5C12-4338-9E34-F33A5F88DA22}" name="G3Y" dataDxfId="14">
      <calculatedColumnFormula>(B3^2)*C3</calculatedColumnFormula>
    </tableColumn>
    <tableColumn id="16" xr3:uid="{8603A66D-8B81-45C9-A1BE-5B987F659FC8}" name="G4Y" dataDxfId="13">
      <calculatedColumnFormula>(B3^3)*C3</calculatedColumnFormula>
    </tableColumn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B72E8C-ABD1-4E08-9340-098C786AC96E}" name="Tabela9" displayName="Tabela9" ref="N34:R43" headerRowCount="0" totalsRowShown="0">
  <tableColumns count="5">
    <tableColumn id="1" xr3:uid="{B9B34793-21EC-426A-916B-51E1053290AA}" name="Coluna1" dataDxfId="12"/>
    <tableColumn id="2" xr3:uid="{2DF679FA-A26C-4DE6-98DC-2DBFC5779486}" name="Coluna2" dataDxfId="11"/>
    <tableColumn id="3" xr3:uid="{58E8ECF9-04CE-4421-9457-157AA432C511}" name="Coluna3" dataDxfId="10">
      <calculatedColumnFormula>B3*O34</calculatedColumnFormula>
    </tableColumn>
    <tableColumn id="4" xr3:uid="{D04B716F-A870-4B4F-B43A-ADABE33598B9}" name="Coluna4" dataDxfId="9">
      <calculatedColumnFormula>B3*P34</calculatedColumnFormula>
    </tableColumn>
    <tableColumn id="5" xr3:uid="{0D1DC08A-6EB2-44CF-A442-DFCD59FC16C3}" name="Coluna5" dataDxfId="8">
      <calculatedColumnFormula>B3*Q34</calculatedColumnFormula>
    </tableColumn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5D0971-A403-4590-AFE3-76B06A7A4EC9}" name="Tabela11" displayName="Tabela11" ref="B18:F21" headerRowCount="0" totalsRowShown="0" headerRowDxfId="7" dataDxfId="6">
  <tableColumns count="5">
    <tableColumn id="1" xr3:uid="{19920090-B4B9-4535-92AA-4B19B5A82421}" name="Coluna1" dataDxfId="5">
      <calculatedColumnFormula>I14</calculatedColumnFormula>
    </tableColumn>
    <tableColumn id="2" xr3:uid="{5A8DCE3A-9064-4FAC-8B43-A99B69115183}" name="Coluna2" dataDxfId="4">
      <calculatedColumnFormula>F14</calculatedColumnFormula>
    </tableColumn>
    <tableColumn id="3" xr3:uid="{9670FFA8-9CFC-4C3E-B25B-EEE520F85C13}" name="Coluna3" dataDxfId="3">
      <calculatedColumnFormula>H14</calculatedColumnFormula>
    </tableColumn>
    <tableColumn id="4" xr3:uid="{71844022-F015-4C26-8C8B-70D67773C334}" name="Coluna4" dataDxfId="2">
      <calculatedColumnFormula>J14</calculatedColumnFormula>
    </tableColumn>
    <tableColumn id="5" xr3:uid="{B32049D8-75CA-45A6-8C3A-A8FA443E7ECE}" name="Coluna5" headerRowDxfId="1" dataDxfId="0">
      <calculatedColumnFormula>N14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12B-6E21-4CD6-80F2-99B0D2C0F106}">
  <dimension ref="B1:Q16"/>
  <sheetViews>
    <sheetView workbookViewId="0">
      <selection activeCell="Q3" sqref="Q3"/>
    </sheetView>
  </sheetViews>
  <sheetFormatPr defaultRowHeight="15" x14ac:dyDescent="0.25"/>
  <cols>
    <col min="2" max="6" width="10.28515625" customWidth="1"/>
    <col min="9" max="9" width="14.5703125" customWidth="1"/>
    <col min="14" max="14" width="1.5703125" customWidth="1"/>
    <col min="16" max="16" width="3" customWidth="1"/>
    <col min="17" max="17" width="14.7109375" customWidth="1"/>
    <col min="19" max="19" width="9" customWidth="1"/>
    <col min="20" max="20" width="8.28515625" customWidth="1"/>
  </cols>
  <sheetData>
    <row r="1" spans="2:17" x14ac:dyDescent="0.25">
      <c r="B1" s="1" t="s">
        <v>9</v>
      </c>
      <c r="C1" s="1" t="s">
        <v>10</v>
      </c>
      <c r="D1" s="1" t="s">
        <v>45</v>
      </c>
      <c r="E1" s="1" t="s">
        <v>46</v>
      </c>
      <c r="F1" s="1" t="s">
        <v>47</v>
      </c>
    </row>
    <row r="2" spans="2:17" x14ac:dyDescent="0.25">
      <c r="B2" s="5" t="s">
        <v>0</v>
      </c>
      <c r="C2" s="5" t="s">
        <v>1</v>
      </c>
      <c r="D2" s="5" t="s">
        <v>2</v>
      </c>
      <c r="E2" s="5" t="s">
        <v>18</v>
      </c>
      <c r="F2" s="5" t="s">
        <v>19</v>
      </c>
    </row>
    <row r="3" spans="2:17" x14ac:dyDescent="0.25">
      <c r="B3" s="4">
        <v>2</v>
      </c>
      <c r="C3" s="4">
        <v>9</v>
      </c>
      <c r="D3">
        <f t="shared" ref="D3:D12" si="0">B3*C3</f>
        <v>18</v>
      </c>
      <c r="E3">
        <f t="shared" ref="E3:E12" si="1">B3^2</f>
        <v>4</v>
      </c>
      <c r="F3">
        <f t="shared" ref="F3:F12" si="2">C3^2</f>
        <v>81</v>
      </c>
      <c r="H3" s="2" t="s">
        <v>4</v>
      </c>
      <c r="I3">
        <f>PEARSON(B3:B12,C3:C12)</f>
        <v>-0.96466173515666986</v>
      </c>
      <c r="L3" s="3" t="s">
        <v>9</v>
      </c>
      <c r="M3" s="3">
        <f>(10*D14)-(B14*C14)</f>
        <v>-570</v>
      </c>
      <c r="N3" s="3" t="s">
        <v>12</v>
      </c>
      <c r="O3" s="3">
        <f>(10*E14)-B14^2</f>
        <v>529</v>
      </c>
      <c r="P3" s="3" t="s">
        <v>11</v>
      </c>
      <c r="Q3" s="3">
        <f>M3/O3</f>
        <v>-1.0775047258979207</v>
      </c>
    </row>
    <row r="4" spans="2:17" x14ac:dyDescent="0.25">
      <c r="B4" s="4">
        <v>5</v>
      </c>
      <c r="C4" s="4">
        <v>4</v>
      </c>
      <c r="D4">
        <f t="shared" si="0"/>
        <v>20</v>
      </c>
      <c r="E4">
        <f t="shared" si="1"/>
        <v>25</v>
      </c>
      <c r="F4">
        <f t="shared" si="2"/>
        <v>16</v>
      </c>
      <c r="H4" s="2" t="s">
        <v>5</v>
      </c>
      <c r="I4">
        <f>Q3</f>
        <v>-1.0775047258979207</v>
      </c>
      <c r="L4" s="3" t="s">
        <v>10</v>
      </c>
      <c r="M4" s="3">
        <f>I6</f>
        <v>5</v>
      </c>
      <c r="N4" s="3" t="s">
        <v>12</v>
      </c>
      <c r="O4" s="3">
        <f>Q3*I5</f>
        <v>-5.4952741020793949</v>
      </c>
      <c r="P4" s="3" t="s">
        <v>11</v>
      </c>
      <c r="Q4" s="3">
        <f>M4-O4</f>
        <v>10.495274102079396</v>
      </c>
    </row>
    <row r="5" spans="2:17" x14ac:dyDescent="0.25">
      <c r="B5" s="4">
        <v>6</v>
      </c>
      <c r="C5" s="4">
        <v>3</v>
      </c>
      <c r="D5">
        <f t="shared" si="0"/>
        <v>18</v>
      </c>
      <c r="E5">
        <f t="shared" si="1"/>
        <v>36</v>
      </c>
      <c r="F5">
        <f t="shared" si="2"/>
        <v>9</v>
      </c>
      <c r="H5" s="2" t="s">
        <v>6</v>
      </c>
      <c r="I5">
        <f>B14/10</f>
        <v>5.0999999999999996</v>
      </c>
    </row>
    <row r="6" spans="2:17" x14ac:dyDescent="0.25">
      <c r="B6" s="4">
        <v>7</v>
      </c>
      <c r="C6" s="4">
        <v>4</v>
      </c>
      <c r="D6">
        <f t="shared" si="0"/>
        <v>28</v>
      </c>
      <c r="E6">
        <f t="shared" si="1"/>
        <v>49</v>
      </c>
      <c r="F6">
        <f t="shared" si="2"/>
        <v>16</v>
      </c>
      <c r="H6" s="2" t="s">
        <v>7</v>
      </c>
      <c r="I6">
        <f>C14/10</f>
        <v>5</v>
      </c>
    </row>
    <row r="7" spans="2:17" x14ac:dyDescent="0.25">
      <c r="B7" s="4">
        <v>3</v>
      </c>
      <c r="C7" s="4">
        <v>8</v>
      </c>
      <c r="D7">
        <f t="shared" si="0"/>
        <v>24</v>
      </c>
      <c r="E7">
        <f t="shared" si="1"/>
        <v>9</v>
      </c>
      <c r="F7">
        <f t="shared" si="2"/>
        <v>64</v>
      </c>
      <c r="H7" s="2" t="s">
        <v>8</v>
      </c>
      <c r="I7">
        <f>Q4</f>
        <v>10.495274102079396</v>
      </c>
    </row>
    <row r="8" spans="2:17" x14ac:dyDescent="0.25">
      <c r="B8" s="4">
        <v>2</v>
      </c>
      <c r="C8" s="4">
        <v>8</v>
      </c>
      <c r="D8">
        <f t="shared" si="0"/>
        <v>16</v>
      </c>
      <c r="E8">
        <f t="shared" si="1"/>
        <v>4</v>
      </c>
      <c r="F8">
        <f t="shared" si="2"/>
        <v>64</v>
      </c>
      <c r="H8" s="2" t="s">
        <v>13</v>
      </c>
      <c r="I8" s="2" t="s">
        <v>14</v>
      </c>
    </row>
    <row r="9" spans="2:17" x14ac:dyDescent="0.25">
      <c r="B9" s="4">
        <v>9</v>
      </c>
      <c r="C9" s="4">
        <v>1</v>
      </c>
      <c r="D9">
        <f t="shared" si="0"/>
        <v>9</v>
      </c>
      <c r="E9">
        <f t="shared" si="1"/>
        <v>81</v>
      </c>
      <c r="F9">
        <f t="shared" si="2"/>
        <v>1</v>
      </c>
    </row>
    <row r="10" spans="2:17" x14ac:dyDescent="0.25">
      <c r="B10" s="4">
        <v>4</v>
      </c>
      <c r="C10" s="4">
        <v>6</v>
      </c>
      <c r="D10">
        <f t="shared" si="0"/>
        <v>24</v>
      </c>
      <c r="E10">
        <f t="shared" si="1"/>
        <v>16</v>
      </c>
      <c r="F10">
        <f t="shared" si="2"/>
        <v>36</v>
      </c>
    </row>
    <row r="11" spans="2:17" x14ac:dyDescent="0.25">
      <c r="B11" s="4">
        <v>5</v>
      </c>
      <c r="C11" s="4">
        <v>5</v>
      </c>
      <c r="D11">
        <f t="shared" si="0"/>
        <v>25</v>
      </c>
      <c r="E11">
        <f t="shared" si="1"/>
        <v>25</v>
      </c>
      <c r="F11">
        <f t="shared" si="2"/>
        <v>25</v>
      </c>
    </row>
    <row r="12" spans="2:17" x14ac:dyDescent="0.25">
      <c r="B12" s="4">
        <v>8</v>
      </c>
      <c r="C12" s="4">
        <v>2</v>
      </c>
      <c r="D12">
        <f t="shared" si="0"/>
        <v>16</v>
      </c>
      <c r="E12">
        <f t="shared" si="1"/>
        <v>64</v>
      </c>
      <c r="F12">
        <f t="shared" si="2"/>
        <v>4</v>
      </c>
    </row>
    <row r="14" spans="2:17" x14ac:dyDescent="0.25">
      <c r="B14" s="3">
        <f>SUM(B3:B12)</f>
        <v>51</v>
      </c>
      <c r="C14" s="3">
        <f t="shared" ref="C14:F14" si="3">SUM(C3:C12)</f>
        <v>50</v>
      </c>
      <c r="D14" s="3">
        <f t="shared" si="3"/>
        <v>198</v>
      </c>
      <c r="E14" s="3">
        <f t="shared" si="3"/>
        <v>313</v>
      </c>
      <c r="F14" s="3">
        <f t="shared" si="3"/>
        <v>316</v>
      </c>
    </row>
    <row r="16" spans="2:17" x14ac:dyDescent="0.25">
      <c r="F16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2718-6CED-494B-8C65-0630ED4E26B7}">
  <dimension ref="B1:R43"/>
  <sheetViews>
    <sheetView tabSelected="1" topLeftCell="A13" zoomScaleNormal="100" workbookViewId="0">
      <selection activeCell="F36" sqref="F36"/>
    </sheetView>
  </sheetViews>
  <sheetFormatPr defaultRowHeight="15" x14ac:dyDescent="0.25"/>
  <cols>
    <col min="2" max="2" width="10.28515625" customWidth="1"/>
    <col min="3" max="3" width="15" customWidth="1"/>
    <col min="4" max="4" width="13.5703125" customWidth="1"/>
    <col min="5" max="5" width="16.85546875" customWidth="1"/>
    <col min="6" max="6" width="15.5703125" customWidth="1"/>
    <col min="7" max="7" width="10.28515625" customWidth="1"/>
    <col min="8" max="8" width="9" customWidth="1"/>
    <col min="9" max="9" width="20.5703125" customWidth="1"/>
    <col min="10" max="10" width="14" customWidth="1"/>
    <col min="11" max="11" width="11.28515625" customWidth="1"/>
    <col min="12" max="12" width="12.42578125" customWidth="1"/>
    <col min="13" max="14" width="11.28515625" customWidth="1"/>
    <col min="15" max="15" width="10.28515625" customWidth="1"/>
    <col min="16" max="16" width="8.28515625" customWidth="1"/>
    <col min="17" max="17" width="11" customWidth="1"/>
    <col min="18" max="18" width="21" customWidth="1"/>
  </cols>
  <sheetData>
    <row r="1" spans="2:18" x14ac:dyDescent="0.25">
      <c r="D1" s="1" t="s">
        <v>21</v>
      </c>
      <c r="E1" s="1" t="s">
        <v>0</v>
      </c>
      <c r="F1" s="1" t="s">
        <v>22</v>
      </c>
      <c r="G1" s="1" t="s">
        <v>18</v>
      </c>
      <c r="H1" s="1" t="s">
        <v>26</v>
      </c>
      <c r="I1" s="1" t="s">
        <v>23</v>
      </c>
      <c r="J1" s="1" t="s">
        <v>25</v>
      </c>
      <c r="K1" s="1" t="s">
        <v>1</v>
      </c>
      <c r="L1" s="1" t="s">
        <v>2</v>
      </c>
      <c r="M1" s="1" t="s">
        <v>20</v>
      </c>
      <c r="N1" s="1" t="s">
        <v>28</v>
      </c>
    </row>
    <row r="2" spans="2:18" x14ac:dyDescent="0.25">
      <c r="B2" s="5" t="s">
        <v>0</v>
      </c>
      <c r="C2" s="5" t="s">
        <v>1</v>
      </c>
      <c r="D2" s="5" t="s">
        <v>48</v>
      </c>
      <c r="E2" s="5" t="s">
        <v>51</v>
      </c>
      <c r="F2" s="5" t="s">
        <v>24</v>
      </c>
      <c r="G2" s="5" t="s">
        <v>50</v>
      </c>
      <c r="H2" s="5" t="s">
        <v>52</v>
      </c>
      <c r="I2" s="5" t="s">
        <v>49</v>
      </c>
      <c r="J2" s="5" t="s">
        <v>27</v>
      </c>
      <c r="K2" s="5" t="s">
        <v>15</v>
      </c>
      <c r="L2" s="5" t="s">
        <v>16</v>
      </c>
      <c r="M2" s="5" t="s">
        <v>17</v>
      </c>
      <c r="N2" s="5" t="s">
        <v>29</v>
      </c>
    </row>
    <row r="3" spans="2:18" x14ac:dyDescent="0.25">
      <c r="B3" s="4">
        <v>2</v>
      </c>
      <c r="C3" s="4">
        <v>1</v>
      </c>
      <c r="D3">
        <f t="shared" ref="D3:D12" si="0">1^2</f>
        <v>1</v>
      </c>
      <c r="E3">
        <f t="shared" ref="E3:E12" si="1">B3</f>
        <v>2</v>
      </c>
      <c r="F3">
        <f t="shared" ref="F3:F12" si="2">B3^4</f>
        <v>16</v>
      </c>
      <c r="G3">
        <f t="shared" ref="G3:G12" si="3">B3^2</f>
        <v>4</v>
      </c>
      <c r="H3">
        <f t="shared" ref="H3:H12" si="4">B3^5</f>
        <v>32</v>
      </c>
      <c r="I3">
        <f t="shared" ref="I3:I12" si="5">B3^3</f>
        <v>8</v>
      </c>
      <c r="J3">
        <f t="shared" ref="J3:J12" si="6">B3^6</f>
        <v>64</v>
      </c>
      <c r="K3">
        <f t="shared" ref="K3:K12" si="7">C3</f>
        <v>1</v>
      </c>
      <c r="L3">
        <f t="shared" ref="L3:L12" si="8">B3*C3</f>
        <v>2</v>
      </c>
      <c r="M3">
        <f t="shared" ref="M3:M12" si="9">(B3^2)*C3</f>
        <v>4</v>
      </c>
      <c r="N3">
        <f t="shared" ref="N3:N12" si="10">(B3^3)*C3</f>
        <v>8</v>
      </c>
      <c r="Q3" s="12" t="s">
        <v>36</v>
      </c>
      <c r="R3" s="13">
        <f>F36/E36</f>
        <v>0.31614894754751838</v>
      </c>
    </row>
    <row r="4" spans="2:18" x14ac:dyDescent="0.25">
      <c r="B4" s="4">
        <v>5</v>
      </c>
      <c r="C4" s="4">
        <v>8</v>
      </c>
      <c r="D4">
        <f t="shared" si="0"/>
        <v>1</v>
      </c>
      <c r="E4">
        <f t="shared" si="1"/>
        <v>5</v>
      </c>
      <c r="F4">
        <f t="shared" si="2"/>
        <v>625</v>
      </c>
      <c r="G4">
        <f t="shared" si="3"/>
        <v>25</v>
      </c>
      <c r="H4">
        <f t="shared" si="4"/>
        <v>3125</v>
      </c>
      <c r="I4">
        <f t="shared" si="5"/>
        <v>125</v>
      </c>
      <c r="J4">
        <f t="shared" si="6"/>
        <v>15625</v>
      </c>
      <c r="K4">
        <f t="shared" si="7"/>
        <v>8</v>
      </c>
      <c r="L4">
        <f t="shared" si="8"/>
        <v>40</v>
      </c>
      <c r="M4">
        <f t="shared" si="9"/>
        <v>200</v>
      </c>
      <c r="N4">
        <f t="shared" si="10"/>
        <v>1000</v>
      </c>
      <c r="Q4" s="12" t="s">
        <v>37</v>
      </c>
      <c r="R4" s="13">
        <f>(F35-E35*R3)/D35</f>
        <v>-5.2673597366611808</v>
      </c>
    </row>
    <row r="5" spans="2:18" x14ac:dyDescent="0.25">
      <c r="B5" s="4">
        <v>6</v>
      </c>
      <c r="C5" s="4">
        <v>4</v>
      </c>
      <c r="D5">
        <f t="shared" si="0"/>
        <v>1</v>
      </c>
      <c r="E5">
        <f t="shared" si="1"/>
        <v>6</v>
      </c>
      <c r="F5">
        <f t="shared" si="2"/>
        <v>1296</v>
      </c>
      <c r="G5">
        <f t="shared" si="3"/>
        <v>36</v>
      </c>
      <c r="H5">
        <f t="shared" si="4"/>
        <v>7776</v>
      </c>
      <c r="I5">
        <f t="shared" si="5"/>
        <v>216</v>
      </c>
      <c r="J5">
        <f t="shared" si="6"/>
        <v>46656</v>
      </c>
      <c r="K5">
        <f t="shared" si="7"/>
        <v>4</v>
      </c>
      <c r="L5">
        <f t="shared" si="8"/>
        <v>24</v>
      </c>
      <c r="M5">
        <f t="shared" si="9"/>
        <v>144</v>
      </c>
      <c r="N5">
        <f t="shared" si="10"/>
        <v>864</v>
      </c>
      <c r="Q5" s="12" t="s">
        <v>38</v>
      </c>
      <c r="R5" s="13">
        <f>(F34-E34*R3-D34*R4)/C34</f>
        <v>26.879417626756112</v>
      </c>
    </row>
    <row r="6" spans="2:18" x14ac:dyDescent="0.25">
      <c r="B6" s="4">
        <v>7</v>
      </c>
      <c r="C6" s="4">
        <v>4</v>
      </c>
      <c r="D6">
        <f t="shared" si="0"/>
        <v>1</v>
      </c>
      <c r="E6">
        <f t="shared" si="1"/>
        <v>7</v>
      </c>
      <c r="F6">
        <f t="shared" si="2"/>
        <v>2401</v>
      </c>
      <c r="G6">
        <f t="shared" si="3"/>
        <v>49</v>
      </c>
      <c r="H6">
        <f t="shared" si="4"/>
        <v>16807</v>
      </c>
      <c r="I6">
        <f t="shared" si="5"/>
        <v>343</v>
      </c>
      <c r="J6">
        <f t="shared" si="6"/>
        <v>117649</v>
      </c>
      <c r="K6">
        <f t="shared" si="7"/>
        <v>4</v>
      </c>
      <c r="L6">
        <f t="shared" si="8"/>
        <v>28</v>
      </c>
      <c r="M6">
        <f t="shared" si="9"/>
        <v>196</v>
      </c>
      <c r="N6">
        <f t="shared" si="10"/>
        <v>1372</v>
      </c>
      <c r="Q6" s="12" t="s">
        <v>39</v>
      </c>
      <c r="R6" s="13">
        <f>(F33-E33*R3-D33*R4-C33*R5)/B33</f>
        <v>-33.909998124960929</v>
      </c>
    </row>
    <row r="7" spans="2:18" x14ac:dyDescent="0.25">
      <c r="B7" s="4">
        <v>3</v>
      </c>
      <c r="C7" s="4">
        <v>6</v>
      </c>
      <c r="D7">
        <f t="shared" si="0"/>
        <v>1</v>
      </c>
      <c r="E7">
        <f t="shared" si="1"/>
        <v>3</v>
      </c>
      <c r="F7">
        <f t="shared" si="2"/>
        <v>81</v>
      </c>
      <c r="G7">
        <f t="shared" si="3"/>
        <v>9</v>
      </c>
      <c r="H7">
        <f t="shared" si="4"/>
        <v>243</v>
      </c>
      <c r="I7">
        <f t="shared" si="5"/>
        <v>27</v>
      </c>
      <c r="J7">
        <f t="shared" si="6"/>
        <v>729</v>
      </c>
      <c r="K7">
        <f t="shared" si="7"/>
        <v>6</v>
      </c>
      <c r="L7">
        <f t="shared" si="8"/>
        <v>18</v>
      </c>
      <c r="M7">
        <f t="shared" si="9"/>
        <v>54</v>
      </c>
      <c r="N7">
        <f t="shared" si="10"/>
        <v>162</v>
      </c>
    </row>
    <row r="8" spans="2:18" x14ac:dyDescent="0.25">
      <c r="B8" s="4">
        <v>2</v>
      </c>
      <c r="C8" s="4">
        <v>2</v>
      </c>
      <c r="D8">
        <f t="shared" si="0"/>
        <v>1</v>
      </c>
      <c r="E8">
        <f t="shared" si="1"/>
        <v>2</v>
      </c>
      <c r="F8">
        <f t="shared" si="2"/>
        <v>16</v>
      </c>
      <c r="G8">
        <f t="shared" si="3"/>
        <v>4</v>
      </c>
      <c r="H8">
        <f t="shared" si="4"/>
        <v>32</v>
      </c>
      <c r="I8">
        <f t="shared" si="5"/>
        <v>8</v>
      </c>
      <c r="J8">
        <f t="shared" si="6"/>
        <v>64</v>
      </c>
      <c r="K8">
        <f t="shared" si="7"/>
        <v>2</v>
      </c>
      <c r="L8">
        <f t="shared" si="8"/>
        <v>4</v>
      </c>
      <c r="M8">
        <f t="shared" si="9"/>
        <v>8</v>
      </c>
      <c r="N8">
        <f t="shared" si="10"/>
        <v>16</v>
      </c>
    </row>
    <row r="9" spans="2:18" x14ac:dyDescent="0.25">
      <c r="B9" s="4">
        <v>9</v>
      </c>
      <c r="C9" s="4">
        <v>11</v>
      </c>
      <c r="D9">
        <f t="shared" si="0"/>
        <v>1</v>
      </c>
      <c r="E9">
        <f t="shared" si="1"/>
        <v>9</v>
      </c>
      <c r="F9">
        <f t="shared" si="2"/>
        <v>6561</v>
      </c>
      <c r="G9">
        <f t="shared" si="3"/>
        <v>81</v>
      </c>
      <c r="H9">
        <f t="shared" si="4"/>
        <v>59049</v>
      </c>
      <c r="I9">
        <f t="shared" si="5"/>
        <v>729</v>
      </c>
      <c r="J9">
        <f t="shared" si="6"/>
        <v>531441</v>
      </c>
      <c r="K9">
        <f t="shared" si="7"/>
        <v>11</v>
      </c>
      <c r="L9">
        <f t="shared" si="8"/>
        <v>99</v>
      </c>
      <c r="M9">
        <f t="shared" si="9"/>
        <v>891</v>
      </c>
      <c r="N9">
        <f t="shared" si="10"/>
        <v>8019</v>
      </c>
      <c r="Q9" s="15" t="s">
        <v>43</v>
      </c>
      <c r="R9" s="16" t="s">
        <v>44</v>
      </c>
    </row>
    <row r="10" spans="2:18" x14ac:dyDescent="0.25">
      <c r="B10" s="4">
        <v>4</v>
      </c>
      <c r="C10" s="4">
        <v>12</v>
      </c>
      <c r="D10">
        <f t="shared" si="0"/>
        <v>1</v>
      </c>
      <c r="E10">
        <f t="shared" si="1"/>
        <v>4</v>
      </c>
      <c r="F10">
        <f t="shared" si="2"/>
        <v>256</v>
      </c>
      <c r="G10">
        <f t="shared" si="3"/>
        <v>16</v>
      </c>
      <c r="H10">
        <f t="shared" si="4"/>
        <v>1024</v>
      </c>
      <c r="I10">
        <f t="shared" si="5"/>
        <v>64</v>
      </c>
      <c r="J10">
        <f t="shared" si="6"/>
        <v>4096</v>
      </c>
      <c r="K10">
        <f t="shared" si="7"/>
        <v>12</v>
      </c>
      <c r="L10">
        <f t="shared" si="8"/>
        <v>48</v>
      </c>
      <c r="M10">
        <f t="shared" si="9"/>
        <v>192</v>
      </c>
      <c r="N10">
        <f t="shared" si="10"/>
        <v>768</v>
      </c>
      <c r="Q10" s="15" t="s">
        <v>43</v>
      </c>
    </row>
    <row r="11" spans="2:18" x14ac:dyDescent="0.25">
      <c r="B11" s="4">
        <v>5</v>
      </c>
      <c r="C11" s="4">
        <v>9</v>
      </c>
      <c r="D11">
        <f t="shared" si="0"/>
        <v>1</v>
      </c>
      <c r="E11">
        <f t="shared" si="1"/>
        <v>5</v>
      </c>
      <c r="F11">
        <f t="shared" si="2"/>
        <v>625</v>
      </c>
      <c r="G11">
        <f t="shared" si="3"/>
        <v>25</v>
      </c>
      <c r="H11">
        <f t="shared" si="4"/>
        <v>3125</v>
      </c>
      <c r="I11">
        <f t="shared" si="5"/>
        <v>125</v>
      </c>
      <c r="J11">
        <f t="shared" si="6"/>
        <v>15625</v>
      </c>
      <c r="K11">
        <f t="shared" si="7"/>
        <v>9</v>
      </c>
      <c r="L11">
        <f t="shared" si="8"/>
        <v>45</v>
      </c>
      <c r="M11">
        <f t="shared" si="9"/>
        <v>225</v>
      </c>
      <c r="N11">
        <f t="shared" si="10"/>
        <v>1125</v>
      </c>
    </row>
    <row r="12" spans="2:18" x14ac:dyDescent="0.25">
      <c r="B12" s="4">
        <v>8</v>
      </c>
      <c r="C12" s="4">
        <v>8</v>
      </c>
      <c r="D12">
        <f t="shared" si="0"/>
        <v>1</v>
      </c>
      <c r="E12">
        <f t="shared" si="1"/>
        <v>8</v>
      </c>
      <c r="F12">
        <f t="shared" si="2"/>
        <v>4096</v>
      </c>
      <c r="G12">
        <f t="shared" si="3"/>
        <v>64</v>
      </c>
      <c r="H12">
        <f t="shared" si="4"/>
        <v>32768</v>
      </c>
      <c r="I12">
        <f t="shared" si="5"/>
        <v>512</v>
      </c>
      <c r="J12">
        <f t="shared" si="6"/>
        <v>262144</v>
      </c>
      <c r="K12">
        <f t="shared" si="7"/>
        <v>8</v>
      </c>
      <c r="L12">
        <f t="shared" si="8"/>
        <v>64</v>
      </c>
      <c r="M12">
        <f t="shared" si="9"/>
        <v>512</v>
      </c>
      <c r="N12">
        <f t="shared" si="10"/>
        <v>4096</v>
      </c>
    </row>
    <row r="14" spans="2:18" x14ac:dyDescent="0.25">
      <c r="B14" s="3">
        <f>SUM(B3:B12)</f>
        <v>51</v>
      </c>
      <c r="C14" s="3">
        <f t="shared" ref="C14" si="11">SUM(C3:C12)</f>
        <v>65</v>
      </c>
      <c r="D14" s="3">
        <f t="shared" ref="D14:N14" si="12">SUM(D3:D12)</f>
        <v>10</v>
      </c>
      <c r="E14" s="3">
        <f t="shared" si="12"/>
        <v>51</v>
      </c>
      <c r="F14" s="3">
        <f t="shared" si="12"/>
        <v>15973</v>
      </c>
      <c r="G14" s="3">
        <f t="shared" si="12"/>
        <v>313</v>
      </c>
      <c r="H14" s="3">
        <f t="shared" si="12"/>
        <v>123981</v>
      </c>
      <c r="I14" s="3">
        <f t="shared" si="12"/>
        <v>2157</v>
      </c>
      <c r="J14" s="3">
        <f t="shared" si="12"/>
        <v>994093</v>
      </c>
      <c r="K14" s="3">
        <f t="shared" si="12"/>
        <v>65</v>
      </c>
      <c r="L14" s="3">
        <f t="shared" si="12"/>
        <v>372</v>
      </c>
      <c r="M14" s="3">
        <f t="shared" si="12"/>
        <v>2426</v>
      </c>
      <c r="N14" s="3">
        <f t="shared" si="12"/>
        <v>17430</v>
      </c>
    </row>
    <row r="16" spans="2:18" x14ac:dyDescent="0.25">
      <c r="M16" t="s">
        <v>3</v>
      </c>
    </row>
    <row r="17" spans="2:9" x14ac:dyDescent="0.25">
      <c r="B17" t="s">
        <v>42</v>
      </c>
    </row>
    <row r="18" spans="2:9" x14ac:dyDescent="0.25">
      <c r="B18" s="7">
        <f>D14</f>
        <v>10</v>
      </c>
      <c r="C18" s="18">
        <f>B14</f>
        <v>51</v>
      </c>
      <c r="D18" s="18">
        <f>G14</f>
        <v>313</v>
      </c>
      <c r="E18" s="18">
        <f>I14</f>
        <v>2157</v>
      </c>
      <c r="F18" s="17">
        <f>K14</f>
        <v>65</v>
      </c>
      <c r="H18" s="14" t="s">
        <v>30</v>
      </c>
      <c r="I18" s="9">
        <f>B19/B18</f>
        <v>5.0999999999999996</v>
      </c>
    </row>
    <row r="19" spans="2:9" x14ac:dyDescent="0.25">
      <c r="B19" s="18">
        <f>B14</f>
        <v>51</v>
      </c>
      <c r="C19" s="18">
        <f>G14</f>
        <v>313</v>
      </c>
      <c r="D19" s="18">
        <f>I14</f>
        <v>2157</v>
      </c>
      <c r="E19" s="18">
        <f>F14</f>
        <v>15973</v>
      </c>
      <c r="F19" s="17">
        <f>L14</f>
        <v>372</v>
      </c>
      <c r="H19" s="14" t="s">
        <v>40</v>
      </c>
      <c r="I19" s="9">
        <f>B20/B18</f>
        <v>31.3</v>
      </c>
    </row>
    <row r="20" spans="2:9" x14ac:dyDescent="0.25">
      <c r="B20" s="18">
        <f>G14</f>
        <v>313</v>
      </c>
      <c r="C20" s="18">
        <f>I14</f>
        <v>2157</v>
      </c>
      <c r="D20" s="18">
        <f>F14</f>
        <v>15973</v>
      </c>
      <c r="E20" s="18">
        <f>H14</f>
        <v>123981</v>
      </c>
      <c r="F20" s="17">
        <f>M14</f>
        <v>2426</v>
      </c>
      <c r="H20" s="14" t="s">
        <v>41</v>
      </c>
      <c r="I20" s="9">
        <f>B21/B18</f>
        <v>215.7</v>
      </c>
    </row>
    <row r="21" spans="2:9" x14ac:dyDescent="0.25">
      <c r="B21" s="18">
        <f>I14</f>
        <v>2157</v>
      </c>
      <c r="C21" s="18">
        <f>F14</f>
        <v>15973</v>
      </c>
      <c r="D21" s="18">
        <f>H14</f>
        <v>123981</v>
      </c>
      <c r="E21" s="18">
        <f>J14</f>
        <v>994093</v>
      </c>
      <c r="F21" s="17">
        <f>N14</f>
        <v>17430</v>
      </c>
      <c r="H21" s="2"/>
      <c r="I21" s="1"/>
    </row>
    <row r="22" spans="2:9" x14ac:dyDescent="0.25">
      <c r="B22" s="1"/>
      <c r="C22" s="1"/>
      <c r="D22" s="1"/>
      <c r="E22" s="1"/>
      <c r="F22" s="1"/>
      <c r="I22" s="1"/>
    </row>
    <row r="23" spans="2:9" x14ac:dyDescent="0.25">
      <c r="B23" s="9">
        <f>B18</f>
        <v>10</v>
      </c>
      <c r="C23" s="8">
        <f>C18</f>
        <v>51</v>
      </c>
      <c r="D23" s="8">
        <f>D18</f>
        <v>313</v>
      </c>
      <c r="E23" s="8">
        <f>E18</f>
        <v>2157</v>
      </c>
      <c r="F23" s="10">
        <f>F18</f>
        <v>65</v>
      </c>
      <c r="H23" s="14" t="s">
        <v>30</v>
      </c>
      <c r="I23" s="9">
        <f>C25/C24</f>
        <v>10.599243856332704</v>
      </c>
    </row>
    <row r="24" spans="2:9" x14ac:dyDescent="0.25">
      <c r="B24" s="8">
        <f>-$B$19*B18+$B$18*B19</f>
        <v>0</v>
      </c>
      <c r="C24" s="9">
        <f t="shared" ref="C24:F24" si="13">-$B$19*C18+$B$18*C19</f>
        <v>529</v>
      </c>
      <c r="D24" s="8">
        <f t="shared" si="13"/>
        <v>5607</v>
      </c>
      <c r="E24" s="8">
        <f t="shared" si="13"/>
        <v>49723</v>
      </c>
      <c r="F24" s="11">
        <f t="shared" si="13"/>
        <v>405</v>
      </c>
      <c r="H24" s="14" t="s">
        <v>40</v>
      </c>
      <c r="I24" s="9">
        <f>C26/C24</f>
        <v>93.994328922495271</v>
      </c>
    </row>
    <row r="25" spans="2:9" x14ac:dyDescent="0.25">
      <c r="B25" s="8">
        <f>-$B$20*B18+$B$18*B20</f>
        <v>0</v>
      </c>
      <c r="C25" s="8">
        <f t="shared" ref="C25:F25" si="14">-$B$20*C18+$B$18*C20</f>
        <v>5607</v>
      </c>
      <c r="D25" s="8">
        <f t="shared" si="14"/>
        <v>61761</v>
      </c>
      <c r="E25" s="8">
        <f t="shared" si="14"/>
        <v>564669</v>
      </c>
      <c r="F25" s="11">
        <f t="shared" si="14"/>
        <v>3915</v>
      </c>
      <c r="I25" s="1"/>
    </row>
    <row r="26" spans="2:9" x14ac:dyDescent="0.25">
      <c r="B26" s="8">
        <f>-$B$21*B18+$B$18*B21</f>
        <v>0</v>
      </c>
      <c r="C26" s="8">
        <f t="shared" ref="C26:F26" si="15">-$B$21*C18+$B$18*C21</f>
        <v>49723</v>
      </c>
      <c r="D26" s="8">
        <f t="shared" si="15"/>
        <v>564669</v>
      </c>
      <c r="E26" s="8">
        <f t="shared" si="15"/>
        <v>5288281</v>
      </c>
      <c r="F26" s="11">
        <f t="shared" si="15"/>
        <v>34095</v>
      </c>
      <c r="I26" s="1"/>
    </row>
    <row r="27" spans="2:9" x14ac:dyDescent="0.25">
      <c r="B27" s="1"/>
      <c r="C27" s="1"/>
      <c r="D27" s="1"/>
      <c r="E27" s="1"/>
      <c r="F27" s="1"/>
      <c r="I27" s="1"/>
    </row>
    <row r="28" spans="2:9" x14ac:dyDescent="0.25">
      <c r="B28" s="9">
        <f>B18</f>
        <v>10</v>
      </c>
      <c r="C28" s="8">
        <f>C18</f>
        <v>51</v>
      </c>
      <c r="D28" s="8">
        <f>D18</f>
        <v>313</v>
      </c>
      <c r="E28" s="8">
        <f>E18</f>
        <v>2157</v>
      </c>
      <c r="F28" s="10">
        <f>F18</f>
        <v>65</v>
      </c>
      <c r="H28" s="14" t="s">
        <v>30</v>
      </c>
      <c r="I28" s="9">
        <f>D31/D35</f>
        <v>16.14850136239782</v>
      </c>
    </row>
    <row r="29" spans="2:9" x14ac:dyDescent="0.25">
      <c r="B29" s="8">
        <f>B24</f>
        <v>0</v>
      </c>
      <c r="C29" s="9">
        <f>C24</f>
        <v>529</v>
      </c>
      <c r="D29" s="8">
        <f>D24</f>
        <v>5607</v>
      </c>
      <c r="E29" s="8">
        <f>E24</f>
        <v>49723</v>
      </c>
      <c r="F29" s="11">
        <f>F24</f>
        <v>405</v>
      </c>
    </row>
    <row r="30" spans="2:9" x14ac:dyDescent="0.25">
      <c r="B30" s="8">
        <f t="shared" ref="B30:B31" si="16">B25</f>
        <v>0</v>
      </c>
      <c r="C30" s="8">
        <f>-$C$25*C24+$C$24*C25</f>
        <v>0</v>
      </c>
      <c r="D30" s="9">
        <f t="shared" ref="D30:F30" si="17">-$C$25*D24+$C$24*D25</f>
        <v>1233120</v>
      </c>
      <c r="E30" s="8">
        <f t="shared" si="17"/>
        <v>19913040</v>
      </c>
      <c r="F30" s="11">
        <f t="shared" si="17"/>
        <v>-199800</v>
      </c>
    </row>
    <row r="31" spans="2:9" x14ac:dyDescent="0.25">
      <c r="B31" s="8">
        <f t="shared" si="16"/>
        <v>0</v>
      </c>
      <c r="C31" s="8">
        <f>-$C$26*C24+$C$24*C26</f>
        <v>0</v>
      </c>
      <c r="D31" s="8">
        <f t="shared" ref="D31:F31" si="18">-$C$26*D24+$C$24*D26</f>
        <v>19913040</v>
      </c>
      <c r="E31" s="8">
        <f t="shared" si="18"/>
        <v>325123920</v>
      </c>
      <c r="F31" s="11">
        <f t="shared" si="18"/>
        <v>-2101560</v>
      </c>
    </row>
    <row r="32" spans="2:9" x14ac:dyDescent="0.25">
      <c r="B32" s="1"/>
      <c r="C32" s="1"/>
      <c r="D32" s="1"/>
      <c r="E32" s="1"/>
      <c r="F32" s="1"/>
    </row>
    <row r="33" spans="2:18" x14ac:dyDescent="0.25">
      <c r="B33" s="9">
        <f>B28</f>
        <v>10</v>
      </c>
      <c r="C33" s="19">
        <f t="shared" ref="C33:E33" si="19">C28</f>
        <v>51</v>
      </c>
      <c r="D33" s="19">
        <f t="shared" si="19"/>
        <v>313</v>
      </c>
      <c r="E33" s="19">
        <f t="shared" si="19"/>
        <v>2157</v>
      </c>
      <c r="F33" s="11">
        <f>F28</f>
        <v>65</v>
      </c>
      <c r="G33" t="s">
        <v>32</v>
      </c>
    </row>
    <row r="34" spans="2:18" x14ac:dyDescent="0.25">
      <c r="B34" s="19">
        <f>B29</f>
        <v>0</v>
      </c>
      <c r="C34" s="9">
        <f t="shared" ref="C34:F34" si="20">C29</f>
        <v>529</v>
      </c>
      <c r="D34" s="19">
        <f t="shared" si="20"/>
        <v>5607</v>
      </c>
      <c r="E34" s="19">
        <f t="shared" si="20"/>
        <v>49723</v>
      </c>
      <c r="F34" s="11">
        <f t="shared" si="20"/>
        <v>405</v>
      </c>
      <c r="G34" t="s">
        <v>33</v>
      </c>
      <c r="N34" s="6" t="s">
        <v>31</v>
      </c>
      <c r="O34" s="1">
        <v>1</v>
      </c>
      <c r="P34" s="1">
        <f t="shared" ref="P34:P43" si="21">B3*O34</f>
        <v>2</v>
      </c>
      <c r="Q34" s="1">
        <f t="shared" ref="Q34:Q43" si="22">B3*P34</f>
        <v>4</v>
      </c>
      <c r="R34">
        <f t="shared" ref="R34:R43" si="23">B3*Q34</f>
        <v>8</v>
      </c>
    </row>
    <row r="35" spans="2:18" x14ac:dyDescent="0.25">
      <c r="B35" s="19">
        <f t="shared" ref="B35:F36" si="24">B30</f>
        <v>0</v>
      </c>
      <c r="C35" s="19">
        <f t="shared" si="24"/>
        <v>0</v>
      </c>
      <c r="D35" s="9">
        <f t="shared" si="24"/>
        <v>1233120</v>
      </c>
      <c r="E35" s="19">
        <f t="shared" si="24"/>
        <v>19913040</v>
      </c>
      <c r="F35" s="11">
        <f t="shared" si="24"/>
        <v>-199800</v>
      </c>
      <c r="G35" t="s">
        <v>34</v>
      </c>
      <c r="N35" s="6" t="s">
        <v>31</v>
      </c>
      <c r="O35" s="1">
        <v>1</v>
      </c>
      <c r="P35" s="1">
        <f t="shared" si="21"/>
        <v>5</v>
      </c>
      <c r="Q35" s="1">
        <f t="shared" si="22"/>
        <v>25</v>
      </c>
      <c r="R35">
        <f t="shared" si="23"/>
        <v>125</v>
      </c>
    </row>
    <row r="36" spans="2:18" x14ac:dyDescent="0.25">
      <c r="B36" s="19">
        <f t="shared" si="24"/>
        <v>0</v>
      </c>
      <c r="C36" s="19">
        <f t="shared" si="24"/>
        <v>0</v>
      </c>
      <c r="D36" s="8">
        <f>-$D$31*D30+$D$30*D31</f>
        <v>0</v>
      </c>
      <c r="E36" s="8">
        <f t="shared" ref="E36:F36" si="25">-$D$31*E30+$D$30*E31</f>
        <v>4387646188800</v>
      </c>
      <c r="F36" s="11">
        <f t="shared" si="25"/>
        <v>1387149724800</v>
      </c>
      <c r="G36" t="s">
        <v>35</v>
      </c>
      <c r="N36" s="6" t="s">
        <v>31</v>
      </c>
      <c r="O36" s="1">
        <v>1</v>
      </c>
      <c r="P36" s="1">
        <f t="shared" si="21"/>
        <v>6</v>
      </c>
      <c r="Q36" s="1">
        <f t="shared" si="22"/>
        <v>36</v>
      </c>
      <c r="R36">
        <f t="shared" si="23"/>
        <v>216</v>
      </c>
    </row>
    <row r="37" spans="2:18" x14ac:dyDescent="0.25">
      <c r="N37" s="6" t="s">
        <v>31</v>
      </c>
      <c r="O37" s="1">
        <v>1</v>
      </c>
      <c r="P37" s="1">
        <f t="shared" si="21"/>
        <v>7</v>
      </c>
      <c r="Q37" s="1">
        <f t="shared" si="22"/>
        <v>49</v>
      </c>
      <c r="R37">
        <f t="shared" si="23"/>
        <v>343</v>
      </c>
    </row>
    <row r="38" spans="2:18" x14ac:dyDescent="0.25">
      <c r="N38" s="6" t="s">
        <v>31</v>
      </c>
      <c r="O38" s="1">
        <v>1</v>
      </c>
      <c r="P38" s="1">
        <f t="shared" si="21"/>
        <v>3</v>
      </c>
      <c r="Q38" s="1">
        <f t="shared" si="22"/>
        <v>9</v>
      </c>
      <c r="R38">
        <f t="shared" si="23"/>
        <v>27</v>
      </c>
    </row>
    <row r="39" spans="2:18" x14ac:dyDescent="0.25">
      <c r="N39" s="6" t="s">
        <v>31</v>
      </c>
      <c r="O39" s="1">
        <v>1</v>
      </c>
      <c r="P39" s="1">
        <f t="shared" si="21"/>
        <v>2</v>
      </c>
      <c r="Q39" s="1">
        <f t="shared" si="22"/>
        <v>4</v>
      </c>
      <c r="R39">
        <f t="shared" si="23"/>
        <v>8</v>
      </c>
    </row>
    <row r="40" spans="2:18" x14ac:dyDescent="0.25">
      <c r="N40" s="6" t="s">
        <v>31</v>
      </c>
      <c r="O40" s="1">
        <v>1</v>
      </c>
      <c r="P40" s="1">
        <f t="shared" si="21"/>
        <v>9</v>
      </c>
      <c r="Q40" s="1">
        <f t="shared" si="22"/>
        <v>81</v>
      </c>
      <c r="R40">
        <f t="shared" si="23"/>
        <v>729</v>
      </c>
    </row>
    <row r="41" spans="2:18" x14ac:dyDescent="0.25">
      <c r="N41" s="6" t="s">
        <v>31</v>
      </c>
      <c r="O41" s="1">
        <v>1</v>
      </c>
      <c r="P41" s="1">
        <f t="shared" si="21"/>
        <v>4</v>
      </c>
      <c r="Q41" s="1">
        <f t="shared" si="22"/>
        <v>16</v>
      </c>
      <c r="R41">
        <f t="shared" si="23"/>
        <v>64</v>
      </c>
    </row>
    <row r="42" spans="2:18" x14ac:dyDescent="0.25">
      <c r="N42" s="6" t="s">
        <v>31</v>
      </c>
      <c r="O42" s="1">
        <v>1</v>
      </c>
      <c r="P42" s="1">
        <f t="shared" si="21"/>
        <v>5</v>
      </c>
      <c r="Q42" s="1">
        <f t="shared" si="22"/>
        <v>25</v>
      </c>
      <c r="R42">
        <f t="shared" si="23"/>
        <v>125</v>
      </c>
    </row>
    <row r="43" spans="2:18" x14ac:dyDescent="0.25">
      <c r="N43" s="6" t="s">
        <v>31</v>
      </c>
      <c r="O43" s="1">
        <v>1</v>
      </c>
      <c r="P43" s="1">
        <f t="shared" si="21"/>
        <v>8</v>
      </c>
      <c r="Q43" s="1">
        <f t="shared" si="22"/>
        <v>64</v>
      </c>
      <c r="R43">
        <f t="shared" si="23"/>
        <v>512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2025-11-22T20:50:55Z</dcterms:created>
  <dcterms:modified xsi:type="dcterms:W3CDTF">2025-11-25T02:36:06Z</dcterms:modified>
</cp:coreProperties>
</file>