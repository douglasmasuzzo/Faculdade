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1716" documentId="11_7F4755BF84DCCE43E268565A8931F45BFA75341E" xr6:coauthVersionLast="47" xr6:coauthVersionMax="47" xr10:uidLastSave="{4E6C68EA-DDA4-47A5-8D7F-0DDAE945DB0C}"/>
  <bookViews>
    <workbookView xWindow="240" yWindow="105" windowWidth="14805" windowHeight="8010" activeTab="1" xr2:uid="{00000000-000D-0000-FFFF-FFFF00000000}"/>
  </bookViews>
  <sheets>
    <sheet name="Regressão Linear - Lista 9" sheetId="1" r:id="rId1"/>
    <sheet name="Interpolação - Lista 10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D23" i="2"/>
  <c r="C23" i="2"/>
  <c r="B23" i="2"/>
  <c r="I3" i="1"/>
  <c r="M5" i="1"/>
  <c r="P4" i="2"/>
  <c r="P11" i="2"/>
  <c r="P13" i="2"/>
  <c r="P12" i="2"/>
  <c r="P10" i="2"/>
  <c r="P9" i="2"/>
  <c r="P8" i="2"/>
  <c r="P7" i="2"/>
  <c r="P6" i="2"/>
  <c r="P5" i="2"/>
  <c r="C14" i="2"/>
  <c r="F23" i="2" s="1"/>
  <c r="B14" i="2"/>
  <c r="N5" i="2"/>
  <c r="N6" i="2"/>
  <c r="N7" i="2"/>
  <c r="N8" i="2"/>
  <c r="N9" i="2"/>
  <c r="N10" i="2"/>
  <c r="N11" i="2"/>
  <c r="N12" i="2"/>
  <c r="N13" i="2"/>
  <c r="N4" i="2"/>
  <c r="N14" i="2" s="1"/>
  <c r="F26" i="2" s="1"/>
  <c r="M5" i="2"/>
  <c r="M6" i="2"/>
  <c r="M7" i="2"/>
  <c r="M8" i="2"/>
  <c r="M9" i="2"/>
  <c r="M10" i="2"/>
  <c r="M11" i="2"/>
  <c r="M12" i="2"/>
  <c r="M13" i="2"/>
  <c r="M4" i="2"/>
  <c r="M14" i="2" s="1"/>
  <c r="F25" i="2" s="1"/>
  <c r="L5" i="2"/>
  <c r="L6" i="2"/>
  <c r="L7" i="2"/>
  <c r="L8" i="2"/>
  <c r="L9" i="2"/>
  <c r="L10" i="2"/>
  <c r="L11" i="2"/>
  <c r="L12" i="2"/>
  <c r="L13" i="2"/>
  <c r="L4" i="2"/>
  <c r="L14" i="2" s="1"/>
  <c r="F24" i="2" s="1"/>
  <c r="J5" i="2"/>
  <c r="J6" i="2"/>
  <c r="J7" i="2"/>
  <c r="J8" i="2"/>
  <c r="J9" i="2"/>
  <c r="J10" i="2"/>
  <c r="J11" i="2"/>
  <c r="J12" i="2"/>
  <c r="J13" i="2"/>
  <c r="I5" i="2"/>
  <c r="U5" i="2" s="1"/>
  <c r="I6" i="2"/>
  <c r="U6" i="2" s="1"/>
  <c r="I7" i="2"/>
  <c r="U7" i="2" s="1"/>
  <c r="I8" i="2"/>
  <c r="U8" i="2" s="1"/>
  <c r="I9" i="2"/>
  <c r="U9" i="2" s="1"/>
  <c r="I10" i="2"/>
  <c r="U10" i="2" s="1"/>
  <c r="I11" i="2"/>
  <c r="U11" i="2" s="1"/>
  <c r="I12" i="2"/>
  <c r="U12" i="2" s="1"/>
  <c r="I13" i="2"/>
  <c r="U13" i="2" s="1"/>
  <c r="H5" i="2"/>
  <c r="H6" i="2"/>
  <c r="H7" i="2"/>
  <c r="H8" i="2"/>
  <c r="H9" i="2"/>
  <c r="H10" i="2"/>
  <c r="H11" i="2"/>
  <c r="H12" i="2"/>
  <c r="H13" i="2"/>
  <c r="G5" i="2"/>
  <c r="T5" i="2" s="1"/>
  <c r="G6" i="2"/>
  <c r="T6" i="2" s="1"/>
  <c r="G7" i="2"/>
  <c r="T7" i="2" s="1"/>
  <c r="G8" i="2"/>
  <c r="T8" i="2" s="1"/>
  <c r="G9" i="2"/>
  <c r="T9" i="2" s="1"/>
  <c r="G10" i="2"/>
  <c r="T10" i="2" s="1"/>
  <c r="G11" i="2"/>
  <c r="T11" i="2" s="1"/>
  <c r="G12" i="2"/>
  <c r="T12" i="2" s="1"/>
  <c r="G13" i="2"/>
  <c r="T13" i="2" s="1"/>
  <c r="F5" i="2"/>
  <c r="F6" i="2"/>
  <c r="F7" i="2"/>
  <c r="F8" i="2"/>
  <c r="F9" i="2"/>
  <c r="F10" i="2"/>
  <c r="F11" i="2"/>
  <c r="F12" i="2"/>
  <c r="F13" i="2"/>
  <c r="J4" i="2"/>
  <c r="J14" i="2" s="1"/>
  <c r="E26" i="2" s="1"/>
  <c r="I4" i="2"/>
  <c r="H4" i="2"/>
  <c r="H14" i="2" s="1"/>
  <c r="G4" i="2"/>
  <c r="F4" i="2"/>
  <c r="F14" i="2" s="1"/>
  <c r="K5" i="2"/>
  <c r="K6" i="2"/>
  <c r="K7" i="2"/>
  <c r="K8" i="2"/>
  <c r="K9" i="2"/>
  <c r="K10" i="2"/>
  <c r="K11" i="2"/>
  <c r="K12" i="2"/>
  <c r="K13" i="2"/>
  <c r="K4" i="2"/>
  <c r="K14" i="2" s="1"/>
  <c r="E5" i="2"/>
  <c r="S5" i="2" s="1"/>
  <c r="E6" i="2"/>
  <c r="S6" i="2" s="1"/>
  <c r="E7" i="2"/>
  <c r="S7" i="2" s="1"/>
  <c r="E8" i="2"/>
  <c r="S8" i="2" s="1"/>
  <c r="E9" i="2"/>
  <c r="S9" i="2" s="1"/>
  <c r="E10" i="2"/>
  <c r="S10" i="2" s="1"/>
  <c r="E11" i="2"/>
  <c r="S11" i="2" s="1"/>
  <c r="E12" i="2"/>
  <c r="S12" i="2" s="1"/>
  <c r="E13" i="2"/>
  <c r="S13" i="2" s="1"/>
  <c r="E4" i="2"/>
  <c r="S4" i="2" s="1"/>
  <c r="D5" i="2"/>
  <c r="R5" i="2" s="1"/>
  <c r="D6" i="2"/>
  <c r="R6" i="2" s="1"/>
  <c r="D7" i="2"/>
  <c r="R7" i="2" s="1"/>
  <c r="D8" i="2"/>
  <c r="R8" i="2" s="1"/>
  <c r="D9" i="2"/>
  <c r="R9" i="2" s="1"/>
  <c r="D10" i="2"/>
  <c r="R10" i="2" s="1"/>
  <c r="D11" i="2"/>
  <c r="R11" i="2" s="1"/>
  <c r="D12" i="2"/>
  <c r="R12" i="2" s="1"/>
  <c r="D13" i="2"/>
  <c r="R13" i="2" s="1"/>
  <c r="D4" i="2"/>
  <c r="M11" i="1"/>
  <c r="F5" i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  <c r="E14" i="1"/>
  <c r="F14" i="1"/>
  <c r="C14" i="1"/>
  <c r="I6" i="1" s="1"/>
  <c r="B14" i="1"/>
  <c r="I5" i="1" s="1"/>
  <c r="D5" i="1"/>
  <c r="D6" i="1"/>
  <c r="D7" i="1"/>
  <c r="D8" i="1"/>
  <c r="D9" i="1"/>
  <c r="D10" i="1"/>
  <c r="D11" i="1"/>
  <c r="D12" i="1"/>
  <c r="D13" i="1"/>
  <c r="D4" i="1"/>
  <c r="D14" i="1" s="1"/>
  <c r="H11" i="1" s="1"/>
  <c r="I11" i="1" l="1"/>
  <c r="D25" i="2"/>
  <c r="E24" i="2"/>
  <c r="C26" i="2"/>
  <c r="D26" i="2"/>
  <c r="E25" i="2"/>
  <c r="E14" i="2"/>
  <c r="B24" i="2"/>
  <c r="M29" i="2"/>
  <c r="M23" i="2"/>
  <c r="F29" i="2" s="1"/>
  <c r="G14" i="2"/>
  <c r="T4" i="2"/>
  <c r="I14" i="2"/>
  <c r="U4" i="2"/>
  <c r="D14" i="2"/>
  <c r="R4" i="2"/>
  <c r="H12" i="1"/>
  <c r="H13" i="1" s="1"/>
  <c r="P24" i="2" l="1"/>
  <c r="I29" i="2"/>
  <c r="B29" i="2"/>
  <c r="I23" i="2"/>
  <c r="D24" i="2"/>
  <c r="C25" i="2"/>
  <c r="B26" i="2"/>
  <c r="P26" i="2" s="1"/>
  <c r="C24" i="2"/>
  <c r="B25" i="2"/>
  <c r="P25" i="2" s="1"/>
  <c r="J29" i="2"/>
  <c r="C29" i="2"/>
  <c r="J23" i="2"/>
  <c r="M24" i="2"/>
  <c r="L24" i="2"/>
  <c r="K24" i="2"/>
  <c r="J24" i="2"/>
  <c r="I24" i="2"/>
  <c r="B30" i="2" s="1"/>
  <c r="I4" i="1"/>
  <c r="I12" i="1"/>
  <c r="I13" i="1" l="1"/>
  <c r="I7" i="1" s="1"/>
  <c r="I30" i="2"/>
  <c r="J30" i="2"/>
  <c r="C30" i="2"/>
  <c r="K30" i="2"/>
  <c r="D30" i="2"/>
  <c r="L30" i="2"/>
  <c r="E30" i="2"/>
  <c r="M30" i="2"/>
  <c r="F30" i="2"/>
  <c r="K29" i="2"/>
  <c r="D29" i="2"/>
  <c r="K23" i="2"/>
  <c r="L25" i="2"/>
  <c r="M25" i="2"/>
  <c r="K25" i="2"/>
  <c r="J25" i="2"/>
  <c r="P28" i="2" s="1"/>
  <c r="I25" i="2"/>
  <c r="B31" i="2" s="1"/>
  <c r="I31" i="2" s="1"/>
  <c r="L29" i="2"/>
  <c r="E29" i="2"/>
  <c r="L23" i="2"/>
  <c r="M26" i="2"/>
  <c r="K26" i="2"/>
  <c r="L26" i="2"/>
  <c r="J26" i="2"/>
  <c r="P29" i="2" s="1"/>
  <c r="I26" i="2"/>
  <c r="B32" i="2" s="1"/>
  <c r="I32" i="2" s="1"/>
  <c r="C31" i="2"/>
  <c r="J31" i="2" s="1"/>
  <c r="C32" i="2" l="1"/>
  <c r="J32" i="2" s="1"/>
  <c r="F32" i="2"/>
  <c r="E32" i="2"/>
  <c r="D32" i="2"/>
  <c r="F31" i="2"/>
  <c r="M31" i="2" s="1"/>
  <c r="E31" i="2"/>
  <c r="L31" i="2" s="1"/>
  <c r="D31" i="2"/>
  <c r="K31" i="2" s="1"/>
  <c r="P31" i="2" l="1"/>
  <c r="M32" i="2"/>
  <c r="L32" i="2"/>
  <c r="K32" i="2"/>
  <c r="S24" i="2" l="1"/>
  <c r="S25" i="2" l="1"/>
  <c r="S26" i="2" l="1"/>
  <c r="S27" i="2" s="1"/>
</calcChain>
</file>

<file path=xl/sharedStrings.xml><?xml version="1.0" encoding="utf-8"?>
<sst xmlns="http://schemas.openxmlformats.org/spreadsheetml/2006/main" count="65" uniqueCount="62">
  <si>
    <t>"NOTAS"</t>
  </si>
  <si>
    <t>Resultado Final</t>
  </si>
  <si>
    <t>Níveis de Correlação</t>
  </si>
  <si>
    <t>X</t>
  </si>
  <si>
    <t>Y</t>
  </si>
  <si>
    <t>X * Y</t>
  </si>
  <si>
    <t>X²</t>
  </si>
  <si>
    <t>Y²</t>
  </si>
  <si>
    <t xml:space="preserve">r = </t>
  </si>
  <si>
    <t xml:space="preserve">r </t>
  </si>
  <si>
    <t>Classificação</t>
  </si>
  <si>
    <t xml:space="preserve">a = </t>
  </si>
  <si>
    <t>&lt; 0,00</t>
  </si>
  <si>
    <t>Correlação negativa</t>
  </si>
  <si>
    <t>x̄ =</t>
  </si>
  <si>
    <t>Ausencia de Correlação</t>
  </si>
  <si>
    <t>ȳ =</t>
  </si>
  <si>
    <t>0,00 &gt; 0,30</t>
  </si>
  <si>
    <t>Fraca positiva</t>
  </si>
  <si>
    <t xml:space="preserve">b = </t>
  </si>
  <si>
    <t>0,30 &gt; 0,60</t>
  </si>
  <si>
    <t>Moderada positiva</t>
  </si>
  <si>
    <t>Y =</t>
  </si>
  <si>
    <t>a*x + b</t>
  </si>
  <si>
    <t>0,60 &gt; 0,90</t>
  </si>
  <si>
    <t>Forte positiva</t>
  </si>
  <si>
    <t>0,90 &gt; 0,99</t>
  </si>
  <si>
    <t>Muito forte positiva</t>
  </si>
  <si>
    <t>A</t>
  </si>
  <si>
    <t>B</t>
  </si>
  <si>
    <t>&gt; 1,00</t>
  </si>
  <si>
    <t>Perfeita positiva</t>
  </si>
  <si>
    <t>Correlação muito forte positiva</t>
  </si>
  <si>
    <t>Fonte : XXXX</t>
  </si>
  <si>
    <t>Dados Apurados</t>
  </si>
  <si>
    <t>G1</t>
  </si>
  <si>
    <t>G2</t>
  </si>
  <si>
    <t>G2*G4</t>
  </si>
  <si>
    <t>G3</t>
  </si>
  <si>
    <t>G3*G2</t>
  </si>
  <si>
    <t>G4</t>
  </si>
  <si>
    <t>G4*G4</t>
  </si>
  <si>
    <t>G1*Y</t>
  </si>
  <si>
    <t>G2*Y</t>
  </si>
  <si>
    <t>G3*Y</t>
  </si>
  <si>
    <t>G4*Y</t>
  </si>
  <si>
    <t>p( X ) = Y</t>
  </si>
  <si>
    <t xml:space="preserve">p( </t>
  </si>
  <si>
    <t xml:space="preserve"> ) = </t>
  </si>
  <si>
    <t>Matriz de Escalonamento</t>
  </si>
  <si>
    <t>Multplicadores</t>
  </si>
  <si>
    <t>p(X) = a + bx + cx² + dx³</t>
  </si>
  <si>
    <t>Multiplicador M1</t>
  </si>
  <si>
    <t>Linha 1 ( A )</t>
  </si>
  <si>
    <t>Multiplicador M2</t>
  </si>
  <si>
    <t>Linha 2 ( B )</t>
  </si>
  <si>
    <t>Multiplicador M3</t>
  </si>
  <si>
    <t>Linha 3 ( C )</t>
  </si>
  <si>
    <t>Linha 4 ( D )</t>
  </si>
  <si>
    <t>Multiplicador M4</t>
  </si>
  <si>
    <t>Multiplicador M5</t>
  </si>
  <si>
    <t>Multiplciador 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</si>
</sst>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FFFF"/>
      <name val="Aptos Narrow"/>
      <scheme val="minor"/>
    </font>
    <font>
      <b/>
      <sz val="12"/>
      <color rgb="FFFFFFFF"/>
      <name val="Aptos Narrow"/>
      <scheme val="minor"/>
    </font>
    <font>
      <sz val="12"/>
      <color theme="0"/>
      <name val="Aptos Narrow"/>
      <family val="2"/>
      <scheme val="minor"/>
    </font>
    <font>
      <b/>
      <sz val="40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30"/>
      <color rgb="FFFFFFFF"/>
      <name val="Aptos Narrow"/>
      <scheme val="minor"/>
    </font>
    <font>
      <b/>
      <sz val="35"/>
      <color rgb="FFFFFFFF"/>
      <name val="Aptos Narrow"/>
      <scheme val="minor"/>
    </font>
    <font>
      <b/>
      <sz val="25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8" fillId="20" borderId="0" xfId="0" applyFont="1" applyFill="1"/>
    <xf numFmtId="0" fontId="0" fillId="20" borderId="0" xfId="0" applyFill="1"/>
    <xf numFmtId="0" fontId="3" fillId="15" borderId="1" xfId="0" applyFont="1" applyFill="1" applyBorder="1" applyAlignment="1">
      <alignment horizontal="center" wrapText="1"/>
    </xf>
    <xf numFmtId="0" fontId="1" fillId="21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4" fillId="11" borderId="4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3" fillId="18" borderId="8" xfId="0" applyFont="1" applyFill="1" applyBorder="1" applyAlignment="1">
      <alignment horizontal="center"/>
    </xf>
    <xf numFmtId="0" fontId="3" fillId="18" borderId="9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3" fillId="20" borderId="10" xfId="0" applyFont="1" applyFill="1" applyBorder="1" applyAlignment="1">
      <alignment horizontal="center"/>
    </xf>
    <xf numFmtId="0" fontId="3" fillId="20" borderId="7" xfId="0" applyFont="1" applyFill="1" applyBorder="1" applyAlignment="1">
      <alignment horizontal="center"/>
    </xf>
    <xf numFmtId="0" fontId="3" fillId="20" borderId="4" xfId="0" applyFont="1" applyFill="1" applyBorder="1" applyAlignment="1">
      <alignment horizontal="center"/>
    </xf>
    <xf numFmtId="0" fontId="3" fillId="20" borderId="5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3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N15"/>
  <sheetViews>
    <sheetView workbookViewId="0">
      <selection activeCell="I13" sqref="I13"/>
    </sheetView>
  </sheetViews>
  <sheetFormatPr defaultRowHeight="15"/>
  <cols>
    <col min="1" max="1" width="10" style="1" customWidth="1"/>
    <col min="2" max="2" width="14.7109375" style="1" bestFit="1" customWidth="1"/>
    <col min="3" max="3" width="14" style="1" customWidth="1"/>
    <col min="4" max="4" width="15.42578125" style="1" customWidth="1"/>
    <col min="5" max="5" width="14.140625" customWidth="1"/>
    <col min="6" max="6" width="15.85546875" customWidth="1"/>
    <col min="8" max="8" width="21.140625" customWidth="1"/>
    <col min="9" max="9" width="22.5703125" customWidth="1"/>
    <col min="10" max="10" width="0" hidden="1" customWidth="1"/>
    <col min="13" max="13" width="19.42578125" customWidth="1"/>
    <col min="14" max="14" width="34.5703125" customWidth="1"/>
    <col min="16" max="16" width="11" bestFit="1" customWidth="1"/>
  </cols>
  <sheetData>
    <row r="1" spans="1:14">
      <c r="A1" s="2"/>
    </row>
    <row r="2" spans="1:14" ht="15.75">
      <c r="B2" s="46" t="s">
        <v>0</v>
      </c>
      <c r="C2" s="47"/>
      <c r="D2" s="47"/>
      <c r="E2" s="47"/>
      <c r="F2" s="48"/>
      <c r="H2" s="49" t="s">
        <v>1</v>
      </c>
      <c r="I2" s="50"/>
      <c r="M2" s="52" t="s">
        <v>2</v>
      </c>
      <c r="N2" s="52"/>
    </row>
    <row r="3" spans="1:14" ht="15.75">
      <c r="B3" s="13" t="s">
        <v>3</v>
      </c>
      <c r="C3" s="14" t="s">
        <v>4</v>
      </c>
      <c r="D3" s="15" t="s">
        <v>5</v>
      </c>
      <c r="E3" s="16" t="s">
        <v>6</v>
      </c>
      <c r="F3" s="16" t="s">
        <v>7</v>
      </c>
      <c r="H3" s="19" t="s">
        <v>8</v>
      </c>
      <c r="I3" s="17">
        <f>PEARSON(B4:B13,C4:C13)</f>
        <v>0.92579857155820611</v>
      </c>
      <c r="M3" s="43" t="s">
        <v>9</v>
      </c>
      <c r="N3" s="43" t="s">
        <v>10</v>
      </c>
    </row>
    <row r="4" spans="1:14" ht="15.75">
      <c r="B4" s="3">
        <v>3</v>
      </c>
      <c r="C4" s="4">
        <v>4</v>
      </c>
      <c r="D4" s="6">
        <f>B4*C4</f>
        <v>12</v>
      </c>
      <c r="E4" s="6">
        <f>B4^2</f>
        <v>9</v>
      </c>
      <c r="F4" s="6">
        <f>C4^2</f>
        <v>16</v>
      </c>
      <c r="H4" s="19" t="s">
        <v>11</v>
      </c>
      <c r="I4" s="17">
        <f>H13</f>
        <v>0.8827977315689981</v>
      </c>
      <c r="M4" s="44" t="s">
        <v>12</v>
      </c>
      <c r="N4" s="44" t="s">
        <v>13</v>
      </c>
    </row>
    <row r="5" spans="1:14" ht="15.75">
      <c r="B5" s="3">
        <v>4</v>
      </c>
      <c r="C5" s="4">
        <v>5</v>
      </c>
      <c r="D5" s="6">
        <f t="shared" ref="D5:D13" si="0">B5*C5</f>
        <v>20</v>
      </c>
      <c r="E5" s="6">
        <f t="shared" ref="E5:E13" si="1">B5^2</f>
        <v>16</v>
      </c>
      <c r="F5" s="6">
        <f t="shared" ref="F5:F13" si="2">C5^2</f>
        <v>25</v>
      </c>
      <c r="H5" s="19" t="s">
        <v>14</v>
      </c>
      <c r="I5" s="17">
        <f>B14/10</f>
        <v>6.1</v>
      </c>
      <c r="M5" s="5">
        <f xml:space="preserve"> 0</f>
        <v>0</v>
      </c>
      <c r="N5" s="45" t="s">
        <v>15</v>
      </c>
    </row>
    <row r="6" spans="1:14" ht="15.75">
      <c r="B6" s="3">
        <v>9</v>
      </c>
      <c r="C6" s="4">
        <v>8</v>
      </c>
      <c r="D6" s="6">
        <f t="shared" si="0"/>
        <v>72</v>
      </c>
      <c r="E6" s="6">
        <f t="shared" si="1"/>
        <v>81</v>
      </c>
      <c r="F6" s="6">
        <f t="shared" si="2"/>
        <v>64</v>
      </c>
      <c r="H6" s="19" t="s">
        <v>16</v>
      </c>
      <c r="I6" s="17">
        <f>C14/10</f>
        <v>6.3</v>
      </c>
      <c r="M6" s="5" t="s">
        <v>17</v>
      </c>
      <c r="N6" s="5" t="s">
        <v>18</v>
      </c>
    </row>
    <row r="7" spans="1:14" ht="15.75">
      <c r="B7" s="3">
        <v>3</v>
      </c>
      <c r="C7" s="4">
        <v>3</v>
      </c>
      <c r="D7" s="6">
        <f t="shared" si="0"/>
        <v>9</v>
      </c>
      <c r="E7" s="6">
        <f t="shared" si="1"/>
        <v>9</v>
      </c>
      <c r="F7" s="6">
        <f t="shared" si="2"/>
        <v>9</v>
      </c>
      <c r="H7" s="19" t="s">
        <v>19</v>
      </c>
      <c r="I7" s="17">
        <f>I13</f>
        <v>0.91493383742911139</v>
      </c>
      <c r="M7" s="5" t="s">
        <v>20</v>
      </c>
      <c r="N7" s="5" t="s">
        <v>21</v>
      </c>
    </row>
    <row r="8" spans="1:14" ht="15.75">
      <c r="B8" s="3">
        <v>6</v>
      </c>
      <c r="C8" s="4">
        <v>5</v>
      </c>
      <c r="D8" s="6">
        <f t="shared" si="0"/>
        <v>30</v>
      </c>
      <c r="E8" s="6">
        <f t="shared" si="1"/>
        <v>36</v>
      </c>
      <c r="F8" s="6">
        <f t="shared" si="2"/>
        <v>25</v>
      </c>
      <c r="H8" s="22" t="s">
        <v>22</v>
      </c>
      <c r="I8" s="23" t="s">
        <v>23</v>
      </c>
      <c r="M8" s="5" t="s">
        <v>24</v>
      </c>
      <c r="N8" s="5" t="s">
        <v>25</v>
      </c>
    </row>
    <row r="9" spans="1:14" ht="15.75">
      <c r="B9" s="3">
        <v>8</v>
      </c>
      <c r="C9" s="4">
        <v>9</v>
      </c>
      <c r="D9" s="6">
        <f t="shared" si="0"/>
        <v>72</v>
      </c>
      <c r="E9" s="6">
        <f t="shared" si="1"/>
        <v>64</v>
      </c>
      <c r="F9" s="6">
        <f t="shared" si="2"/>
        <v>81</v>
      </c>
      <c r="M9" s="18" t="s">
        <v>26</v>
      </c>
      <c r="N9" s="18" t="s">
        <v>27</v>
      </c>
    </row>
    <row r="10" spans="1:14" ht="15.75">
      <c r="B10" s="3">
        <v>10</v>
      </c>
      <c r="C10" s="4">
        <v>10</v>
      </c>
      <c r="D10" s="6">
        <f t="shared" si="0"/>
        <v>100</v>
      </c>
      <c r="E10" s="6">
        <f t="shared" si="1"/>
        <v>100</v>
      </c>
      <c r="F10" s="6">
        <f t="shared" si="2"/>
        <v>100</v>
      </c>
      <c r="H10" s="17" t="s">
        <v>28</v>
      </c>
      <c r="I10" s="17" t="s">
        <v>29</v>
      </c>
      <c r="M10" s="5" t="s">
        <v>30</v>
      </c>
      <c r="N10" s="5" t="s">
        <v>31</v>
      </c>
    </row>
    <row r="11" spans="1:14" ht="15.75">
      <c r="B11" s="3">
        <v>5</v>
      </c>
      <c r="C11" s="4">
        <v>6</v>
      </c>
      <c r="D11" s="6">
        <f t="shared" si="0"/>
        <v>30</v>
      </c>
      <c r="E11" s="6">
        <f t="shared" si="1"/>
        <v>25</v>
      </c>
      <c r="F11" s="6">
        <f t="shared" si="2"/>
        <v>36</v>
      </c>
      <c r="H11" s="5">
        <f>(10*D14)-(B14*C14)</f>
        <v>467</v>
      </c>
      <c r="I11" s="5">
        <f>I6</f>
        <v>6.3</v>
      </c>
      <c r="M11" s="42">
        <f>I3</f>
        <v>0.92579857155820611</v>
      </c>
      <c r="N11" s="42" t="s">
        <v>32</v>
      </c>
    </row>
    <row r="12" spans="1:14" ht="15.75">
      <c r="B12" s="3">
        <v>7</v>
      </c>
      <c r="C12" s="4">
        <v>8</v>
      </c>
      <c r="D12" s="6">
        <f t="shared" si="0"/>
        <v>56</v>
      </c>
      <c r="E12" s="6">
        <f t="shared" si="1"/>
        <v>49</v>
      </c>
      <c r="F12" s="6">
        <f t="shared" si="2"/>
        <v>64</v>
      </c>
      <c r="H12" s="18">
        <f>(10*E14)-B14^2</f>
        <v>529</v>
      </c>
      <c r="I12" s="18">
        <f>H13*I5</f>
        <v>5.3850661625708884</v>
      </c>
    </row>
    <row r="13" spans="1:14" ht="15.75">
      <c r="B13" s="9">
        <v>6</v>
      </c>
      <c r="C13" s="10">
        <v>5</v>
      </c>
      <c r="D13" s="11">
        <f t="shared" si="0"/>
        <v>30</v>
      </c>
      <c r="E13" s="6">
        <f t="shared" si="1"/>
        <v>36</v>
      </c>
      <c r="F13" s="6">
        <f t="shared" si="2"/>
        <v>25</v>
      </c>
      <c r="H13" s="24">
        <f>H11/H12</f>
        <v>0.8827977315689981</v>
      </c>
      <c r="I13" s="24">
        <f>I11-I12</f>
        <v>0.91493383742911139</v>
      </c>
    </row>
    <row r="14" spans="1:14" ht="15.75">
      <c r="B14" s="12">
        <f>SUM(B4:B13)</f>
        <v>61</v>
      </c>
      <c r="C14" s="7">
        <f>SUM(C4:C13)</f>
        <v>63</v>
      </c>
      <c r="D14" s="8">
        <f>SUM(D4:D13)</f>
        <v>431</v>
      </c>
      <c r="E14" s="8">
        <f t="shared" ref="E14:F14" si="3">SUM(E4:E13)</f>
        <v>425</v>
      </c>
      <c r="F14" s="8">
        <f t="shared" si="3"/>
        <v>445</v>
      </c>
    </row>
    <row r="15" spans="1:14" ht="15.75">
      <c r="E15" s="51" t="s">
        <v>33</v>
      </c>
      <c r="F15" s="51"/>
    </row>
  </sheetData>
  <mergeCells count="4">
    <mergeCell ref="B2:F2"/>
    <mergeCell ref="H2:I2"/>
    <mergeCell ref="E15:F15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3280-3782-47D8-B5E9-5D1F332DB44C}">
  <sheetPr>
    <tabColor rgb="FFFFC000"/>
  </sheetPr>
  <dimension ref="B2:U32"/>
  <sheetViews>
    <sheetView tabSelected="1" topLeftCell="H2" workbookViewId="0">
      <selection activeCell="H24" sqref="H24"/>
    </sheetView>
  </sheetViews>
  <sheetFormatPr defaultRowHeight="15"/>
  <cols>
    <col min="2" max="2" width="21.5703125" customWidth="1"/>
    <col min="3" max="3" width="24.140625" customWidth="1"/>
    <col min="4" max="4" width="22.7109375" customWidth="1"/>
    <col min="5" max="5" width="21.140625" customWidth="1"/>
    <col min="6" max="6" width="19.42578125" customWidth="1"/>
    <col min="7" max="7" width="18.5703125" customWidth="1"/>
    <col min="8" max="8" width="21.140625" customWidth="1"/>
    <col min="9" max="9" width="23.28515625" customWidth="1"/>
    <col min="10" max="10" width="20.85546875" customWidth="1"/>
    <col min="11" max="11" width="21.5703125" customWidth="1"/>
    <col min="12" max="12" width="23.42578125" customWidth="1"/>
    <col min="13" max="13" width="22.85546875" customWidth="1"/>
    <col min="14" max="14" width="23" customWidth="1"/>
    <col min="15" max="15" width="28" customWidth="1"/>
    <col min="16" max="16" width="16" customWidth="1"/>
    <col min="17" max="17" width="25" customWidth="1"/>
    <col min="18" max="18" width="26.28515625" customWidth="1"/>
    <col min="19" max="19" width="27.5703125" customWidth="1"/>
    <col min="20" max="20" width="30.5703125" customWidth="1"/>
    <col min="21" max="21" width="18.28515625" customWidth="1"/>
  </cols>
  <sheetData>
    <row r="2" spans="2:21" ht="15.75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2:21" ht="15.75">
      <c r="B3" s="21" t="s">
        <v>3</v>
      </c>
      <c r="C3" s="21" t="s">
        <v>4</v>
      </c>
      <c r="D3" s="21" t="s">
        <v>35</v>
      </c>
      <c r="E3" s="21" t="s">
        <v>36</v>
      </c>
      <c r="F3" s="21" t="s">
        <v>37</v>
      </c>
      <c r="G3" s="21" t="s">
        <v>38</v>
      </c>
      <c r="H3" s="21" t="s">
        <v>39</v>
      </c>
      <c r="I3" s="21" t="s">
        <v>40</v>
      </c>
      <c r="J3" s="28" t="s">
        <v>41</v>
      </c>
      <c r="K3" s="28" t="s">
        <v>42</v>
      </c>
      <c r="L3" s="20" t="s">
        <v>43</v>
      </c>
      <c r="M3" s="21" t="s">
        <v>44</v>
      </c>
      <c r="N3" s="21" t="s">
        <v>45</v>
      </c>
      <c r="P3" s="55" t="s">
        <v>46</v>
      </c>
      <c r="Q3" s="55"/>
      <c r="R3" s="55"/>
      <c r="S3" s="55"/>
      <c r="T3" s="55"/>
      <c r="U3" s="55"/>
    </row>
    <row r="4" spans="2:21" ht="15.75">
      <c r="B4" s="68">
        <v>1</v>
      </c>
      <c r="C4" s="3">
        <v>3</v>
      </c>
      <c r="D4" s="3">
        <f>1^2</f>
        <v>1</v>
      </c>
      <c r="E4" s="3">
        <f>B4</f>
        <v>1</v>
      </c>
      <c r="F4" s="3">
        <f>B4^4</f>
        <v>1</v>
      </c>
      <c r="G4" s="3">
        <f>B4^2</f>
        <v>1</v>
      </c>
      <c r="H4" s="25">
        <f>B4^5</f>
        <v>1</v>
      </c>
      <c r="I4" s="25">
        <f>B4^3</f>
        <v>1</v>
      </c>
      <c r="J4" s="26">
        <f>B4^6</f>
        <v>1</v>
      </c>
      <c r="K4" s="3">
        <f>C4</f>
        <v>3</v>
      </c>
      <c r="L4" s="27">
        <f>B4*C4</f>
        <v>3</v>
      </c>
      <c r="M4" s="25">
        <f>(B4^2)*C4</f>
        <v>3</v>
      </c>
      <c r="N4" s="25">
        <f>(B4^3)*C4</f>
        <v>3</v>
      </c>
      <c r="P4" s="61" t="str">
        <f>P15 &amp; B4 &amp; Q15 &amp; C4</f>
        <v>p( 1 ) = 3</v>
      </c>
      <c r="Q4" s="62"/>
      <c r="R4" s="30">
        <f>D4</f>
        <v>1</v>
      </c>
      <c r="S4" s="30">
        <f>E4</f>
        <v>1</v>
      </c>
      <c r="T4" s="30">
        <f>G4</f>
        <v>1</v>
      </c>
      <c r="U4" s="30">
        <f>I4</f>
        <v>1</v>
      </c>
    </row>
    <row r="5" spans="2:21" ht="15.75">
      <c r="B5" s="3">
        <v>2</v>
      </c>
      <c r="C5" s="3">
        <v>4</v>
      </c>
      <c r="D5" s="3">
        <f t="shared" ref="D5:D13" si="0">1^2</f>
        <v>1</v>
      </c>
      <c r="E5" s="3">
        <f t="shared" ref="E5:E13" si="1">B5</f>
        <v>2</v>
      </c>
      <c r="F5" s="3">
        <f t="shared" ref="F5:F13" si="2">B5^4</f>
        <v>16</v>
      </c>
      <c r="G5" s="3">
        <f t="shared" ref="G5:G13" si="3">B5^2</f>
        <v>4</v>
      </c>
      <c r="H5" s="25">
        <f t="shared" ref="H5:H13" si="4">B5^5</f>
        <v>32</v>
      </c>
      <c r="I5" s="25">
        <f t="shared" ref="I5:I13" si="5">B5^3</f>
        <v>8</v>
      </c>
      <c r="J5" s="26">
        <f t="shared" ref="J5:J13" si="6">B5^6</f>
        <v>64</v>
      </c>
      <c r="K5" s="3">
        <f t="shared" ref="K5:K13" si="7">C5</f>
        <v>4</v>
      </c>
      <c r="L5" s="27">
        <f t="shared" ref="L5:L13" si="8">B5*C5</f>
        <v>8</v>
      </c>
      <c r="M5" s="25">
        <f t="shared" ref="M5:M13" si="9">(B5^2)*C5</f>
        <v>16</v>
      </c>
      <c r="N5" s="25">
        <f t="shared" ref="N5:N13" si="10">(B5^3)*C5</f>
        <v>32</v>
      </c>
      <c r="P5" s="63" t="str">
        <f>P15 &amp; B5 &amp; Q15 &amp; C5</f>
        <v>p( 2 ) = 4</v>
      </c>
      <c r="Q5" s="64"/>
      <c r="R5" s="30">
        <f t="shared" ref="R5:R13" si="11">D5</f>
        <v>1</v>
      </c>
      <c r="S5" s="30">
        <f t="shared" ref="S5:S13" si="12">E5</f>
        <v>2</v>
      </c>
      <c r="T5" s="30">
        <f t="shared" ref="T5:T13" si="13">G5</f>
        <v>4</v>
      </c>
      <c r="U5" s="30">
        <f t="shared" ref="U5:U13" si="14">I5</f>
        <v>8</v>
      </c>
    </row>
    <row r="6" spans="2:21" ht="15.75">
      <c r="B6" s="3">
        <v>4</v>
      </c>
      <c r="C6" s="3">
        <v>8</v>
      </c>
      <c r="D6" s="3">
        <f t="shared" si="0"/>
        <v>1</v>
      </c>
      <c r="E6" s="3">
        <f t="shared" si="1"/>
        <v>4</v>
      </c>
      <c r="F6" s="3">
        <f t="shared" si="2"/>
        <v>256</v>
      </c>
      <c r="G6" s="3">
        <f t="shared" si="3"/>
        <v>16</v>
      </c>
      <c r="H6" s="25">
        <f t="shared" si="4"/>
        <v>1024</v>
      </c>
      <c r="I6" s="25">
        <f t="shared" si="5"/>
        <v>64</v>
      </c>
      <c r="J6" s="26">
        <f t="shared" si="6"/>
        <v>4096</v>
      </c>
      <c r="K6" s="3">
        <f t="shared" si="7"/>
        <v>8</v>
      </c>
      <c r="L6" s="27">
        <f t="shared" si="8"/>
        <v>32</v>
      </c>
      <c r="M6" s="25">
        <f t="shared" si="9"/>
        <v>128</v>
      </c>
      <c r="N6" s="25">
        <f t="shared" si="10"/>
        <v>512</v>
      </c>
      <c r="P6" s="63" t="str">
        <f>P15 &amp; B6 &amp; Q15 &amp; C6</f>
        <v>p( 4 ) = 8</v>
      </c>
      <c r="Q6" s="64"/>
      <c r="R6" s="30">
        <f t="shared" si="11"/>
        <v>1</v>
      </c>
      <c r="S6" s="30">
        <f t="shared" si="12"/>
        <v>4</v>
      </c>
      <c r="T6" s="30">
        <f t="shared" si="13"/>
        <v>16</v>
      </c>
      <c r="U6" s="30">
        <f t="shared" si="14"/>
        <v>64</v>
      </c>
    </row>
    <row r="7" spans="2:21" ht="15.75">
      <c r="B7" s="3">
        <v>5</v>
      </c>
      <c r="C7" s="3">
        <v>6</v>
      </c>
      <c r="D7" s="3">
        <f t="shared" si="0"/>
        <v>1</v>
      </c>
      <c r="E7" s="3">
        <f t="shared" si="1"/>
        <v>5</v>
      </c>
      <c r="F7" s="3">
        <f t="shared" si="2"/>
        <v>625</v>
      </c>
      <c r="G7" s="3">
        <f t="shared" si="3"/>
        <v>25</v>
      </c>
      <c r="H7" s="25">
        <f t="shared" si="4"/>
        <v>3125</v>
      </c>
      <c r="I7" s="25">
        <f t="shared" si="5"/>
        <v>125</v>
      </c>
      <c r="J7" s="26">
        <f t="shared" si="6"/>
        <v>15625</v>
      </c>
      <c r="K7" s="3">
        <f t="shared" si="7"/>
        <v>6</v>
      </c>
      <c r="L7" s="27">
        <f t="shared" si="8"/>
        <v>30</v>
      </c>
      <c r="M7" s="25">
        <f t="shared" si="9"/>
        <v>150</v>
      </c>
      <c r="N7" s="25">
        <f t="shared" si="10"/>
        <v>750</v>
      </c>
      <c r="P7" s="63" t="str">
        <f>P15 &amp; B7 &amp; Q15 &amp; C7</f>
        <v>p( 5 ) = 6</v>
      </c>
      <c r="Q7" s="64"/>
      <c r="R7" s="30">
        <f t="shared" si="11"/>
        <v>1</v>
      </c>
      <c r="S7" s="30">
        <f t="shared" si="12"/>
        <v>5</v>
      </c>
      <c r="T7" s="30">
        <f t="shared" si="13"/>
        <v>25</v>
      </c>
      <c r="U7" s="30">
        <f t="shared" si="14"/>
        <v>125</v>
      </c>
    </row>
    <row r="8" spans="2:21" ht="15.75">
      <c r="B8" s="3">
        <v>6</v>
      </c>
      <c r="C8" s="3">
        <v>5</v>
      </c>
      <c r="D8" s="3">
        <f t="shared" si="0"/>
        <v>1</v>
      </c>
      <c r="E8" s="3">
        <f t="shared" si="1"/>
        <v>6</v>
      </c>
      <c r="F8" s="3">
        <f t="shared" si="2"/>
        <v>1296</v>
      </c>
      <c r="G8" s="3">
        <f t="shared" si="3"/>
        <v>36</v>
      </c>
      <c r="H8" s="25">
        <f t="shared" si="4"/>
        <v>7776</v>
      </c>
      <c r="I8" s="25">
        <f t="shared" si="5"/>
        <v>216</v>
      </c>
      <c r="J8" s="26">
        <f t="shared" si="6"/>
        <v>46656</v>
      </c>
      <c r="K8" s="3">
        <f t="shared" si="7"/>
        <v>5</v>
      </c>
      <c r="L8" s="27">
        <f t="shared" si="8"/>
        <v>30</v>
      </c>
      <c r="M8" s="25">
        <f t="shared" si="9"/>
        <v>180</v>
      </c>
      <c r="N8" s="25">
        <f t="shared" si="10"/>
        <v>1080</v>
      </c>
      <c r="P8" s="63" t="str">
        <f>P15 &amp; B8 &amp; Q15 &amp; C8</f>
        <v>p( 6 ) = 5</v>
      </c>
      <c r="Q8" s="64"/>
      <c r="R8" s="30">
        <f t="shared" si="11"/>
        <v>1</v>
      </c>
      <c r="S8" s="30">
        <f t="shared" si="12"/>
        <v>6</v>
      </c>
      <c r="T8" s="30">
        <f t="shared" si="13"/>
        <v>36</v>
      </c>
      <c r="U8" s="30">
        <f t="shared" si="14"/>
        <v>216</v>
      </c>
    </row>
    <row r="9" spans="2:21" ht="15.75">
      <c r="B9" s="3">
        <v>8</v>
      </c>
      <c r="C9" s="3">
        <v>8</v>
      </c>
      <c r="D9" s="3">
        <f t="shared" si="0"/>
        <v>1</v>
      </c>
      <c r="E9" s="3">
        <f t="shared" si="1"/>
        <v>8</v>
      </c>
      <c r="F9" s="3">
        <f t="shared" si="2"/>
        <v>4096</v>
      </c>
      <c r="G9" s="3">
        <f t="shared" si="3"/>
        <v>64</v>
      </c>
      <c r="H9" s="25">
        <f t="shared" si="4"/>
        <v>32768</v>
      </c>
      <c r="I9" s="25">
        <f t="shared" si="5"/>
        <v>512</v>
      </c>
      <c r="J9" s="26">
        <f t="shared" si="6"/>
        <v>262144</v>
      </c>
      <c r="K9" s="3">
        <f t="shared" si="7"/>
        <v>8</v>
      </c>
      <c r="L9" s="27">
        <f t="shared" si="8"/>
        <v>64</v>
      </c>
      <c r="M9" s="25">
        <f t="shared" si="9"/>
        <v>512</v>
      </c>
      <c r="N9" s="25">
        <f t="shared" si="10"/>
        <v>4096</v>
      </c>
      <c r="P9" s="63" t="str">
        <f>P15 &amp; B9 &amp; Q15 &amp; C9</f>
        <v>p( 8 ) = 8</v>
      </c>
      <c r="Q9" s="64"/>
      <c r="R9" s="30">
        <f t="shared" si="11"/>
        <v>1</v>
      </c>
      <c r="S9" s="30">
        <f t="shared" si="12"/>
        <v>8</v>
      </c>
      <c r="T9" s="30">
        <f t="shared" si="13"/>
        <v>64</v>
      </c>
      <c r="U9" s="30">
        <f t="shared" si="14"/>
        <v>512</v>
      </c>
    </row>
    <row r="10" spans="2:21" ht="15.75">
      <c r="B10" s="9">
        <v>10</v>
      </c>
      <c r="C10" s="9">
        <v>15</v>
      </c>
      <c r="D10" s="3">
        <f t="shared" si="0"/>
        <v>1</v>
      </c>
      <c r="E10" s="3">
        <f t="shared" si="1"/>
        <v>10</v>
      </c>
      <c r="F10" s="3">
        <f t="shared" si="2"/>
        <v>10000</v>
      </c>
      <c r="G10" s="3">
        <f t="shared" si="3"/>
        <v>100</v>
      </c>
      <c r="H10" s="25">
        <f t="shared" si="4"/>
        <v>100000</v>
      </c>
      <c r="I10" s="25">
        <f t="shared" si="5"/>
        <v>1000</v>
      </c>
      <c r="J10" s="26">
        <f t="shared" si="6"/>
        <v>1000000</v>
      </c>
      <c r="K10" s="3">
        <f t="shared" si="7"/>
        <v>15</v>
      </c>
      <c r="L10" s="27">
        <f t="shared" si="8"/>
        <v>150</v>
      </c>
      <c r="M10" s="25">
        <f t="shared" si="9"/>
        <v>1500</v>
      </c>
      <c r="N10" s="25">
        <f t="shared" si="10"/>
        <v>15000</v>
      </c>
      <c r="P10" s="63" t="str">
        <f>P15 &amp; B10 &amp; Q15 &amp; C10</f>
        <v>p( 10 ) = 15</v>
      </c>
      <c r="Q10" s="64"/>
      <c r="R10" s="30">
        <f t="shared" si="11"/>
        <v>1</v>
      </c>
      <c r="S10" s="30">
        <f t="shared" si="12"/>
        <v>10</v>
      </c>
      <c r="T10" s="30">
        <f t="shared" si="13"/>
        <v>100</v>
      </c>
      <c r="U10" s="30">
        <f t="shared" si="14"/>
        <v>1000</v>
      </c>
    </row>
    <row r="11" spans="2:21" ht="15.75">
      <c r="B11" s="3">
        <v>5</v>
      </c>
      <c r="C11" s="3">
        <v>7</v>
      </c>
      <c r="D11" s="3">
        <f t="shared" si="0"/>
        <v>1</v>
      </c>
      <c r="E11" s="3">
        <f t="shared" si="1"/>
        <v>5</v>
      </c>
      <c r="F11" s="3">
        <f t="shared" si="2"/>
        <v>625</v>
      </c>
      <c r="G11" s="3">
        <f t="shared" si="3"/>
        <v>25</v>
      </c>
      <c r="H11" s="25">
        <f t="shared" si="4"/>
        <v>3125</v>
      </c>
      <c r="I11" s="25">
        <f t="shared" si="5"/>
        <v>125</v>
      </c>
      <c r="J11" s="26">
        <f t="shared" si="6"/>
        <v>15625</v>
      </c>
      <c r="K11" s="3">
        <f t="shared" si="7"/>
        <v>7</v>
      </c>
      <c r="L11" s="27">
        <f t="shared" si="8"/>
        <v>35</v>
      </c>
      <c r="M11" s="25">
        <f t="shared" si="9"/>
        <v>175</v>
      </c>
      <c r="N11" s="25">
        <f t="shared" si="10"/>
        <v>875</v>
      </c>
      <c r="P11" s="63" t="str">
        <f>P15 &amp; B11 &amp; Q15 &amp; C11</f>
        <v>p( 5 ) = 7</v>
      </c>
      <c r="Q11" s="64"/>
      <c r="R11" s="30">
        <f t="shared" si="11"/>
        <v>1</v>
      </c>
      <c r="S11" s="30">
        <f t="shared" si="12"/>
        <v>5</v>
      </c>
      <c r="T11" s="30">
        <f t="shared" si="13"/>
        <v>25</v>
      </c>
      <c r="U11" s="30">
        <f t="shared" si="14"/>
        <v>125</v>
      </c>
    </row>
    <row r="12" spans="2:21" ht="15.75">
      <c r="B12" s="3">
        <v>7</v>
      </c>
      <c r="C12" s="3">
        <v>4</v>
      </c>
      <c r="D12" s="3">
        <f t="shared" si="0"/>
        <v>1</v>
      </c>
      <c r="E12" s="3">
        <f t="shared" si="1"/>
        <v>7</v>
      </c>
      <c r="F12" s="3">
        <f t="shared" si="2"/>
        <v>2401</v>
      </c>
      <c r="G12" s="3">
        <f t="shared" si="3"/>
        <v>49</v>
      </c>
      <c r="H12" s="25">
        <f t="shared" si="4"/>
        <v>16807</v>
      </c>
      <c r="I12" s="25">
        <f t="shared" si="5"/>
        <v>343</v>
      </c>
      <c r="J12" s="26">
        <f t="shared" si="6"/>
        <v>117649</v>
      </c>
      <c r="K12" s="3">
        <f t="shared" si="7"/>
        <v>4</v>
      </c>
      <c r="L12" s="27">
        <f t="shared" si="8"/>
        <v>28</v>
      </c>
      <c r="M12" s="25">
        <f t="shared" si="9"/>
        <v>196</v>
      </c>
      <c r="N12" s="25">
        <f t="shared" si="10"/>
        <v>1372</v>
      </c>
      <c r="P12" s="63" t="str">
        <f>P15 &amp; B12 &amp; Q15 &amp; C12</f>
        <v>p( 7 ) = 4</v>
      </c>
      <c r="Q12" s="64"/>
      <c r="R12" s="30">
        <f t="shared" si="11"/>
        <v>1</v>
      </c>
      <c r="S12" s="30">
        <f t="shared" si="12"/>
        <v>7</v>
      </c>
      <c r="T12" s="30">
        <f t="shared" si="13"/>
        <v>49</v>
      </c>
      <c r="U12" s="30">
        <f t="shared" si="14"/>
        <v>343</v>
      </c>
    </row>
    <row r="13" spans="2:21" ht="15.75">
      <c r="B13" s="9">
        <v>9</v>
      </c>
      <c r="C13" s="9">
        <v>12</v>
      </c>
      <c r="D13" s="3">
        <f t="shared" si="0"/>
        <v>1</v>
      </c>
      <c r="E13" s="3">
        <f t="shared" si="1"/>
        <v>9</v>
      </c>
      <c r="F13" s="3">
        <f t="shared" si="2"/>
        <v>6561</v>
      </c>
      <c r="G13" s="3">
        <f t="shared" si="3"/>
        <v>81</v>
      </c>
      <c r="H13" s="25">
        <f t="shared" si="4"/>
        <v>59049</v>
      </c>
      <c r="I13" s="25">
        <f t="shared" si="5"/>
        <v>729</v>
      </c>
      <c r="J13" s="26">
        <f t="shared" si="6"/>
        <v>531441</v>
      </c>
      <c r="K13" s="3">
        <f t="shared" si="7"/>
        <v>12</v>
      </c>
      <c r="L13" s="27">
        <f t="shared" si="8"/>
        <v>108</v>
      </c>
      <c r="M13" s="25">
        <f t="shared" si="9"/>
        <v>972</v>
      </c>
      <c r="N13" s="25">
        <f t="shared" si="10"/>
        <v>8748</v>
      </c>
      <c r="P13" s="63" t="str">
        <f>P15 &amp; B13 &amp; Q15 &amp; C13</f>
        <v>p( 9 ) = 12</v>
      </c>
      <c r="Q13" s="64"/>
      <c r="R13" s="30">
        <f t="shared" si="11"/>
        <v>1</v>
      </c>
      <c r="S13" s="30">
        <f t="shared" si="12"/>
        <v>9</v>
      </c>
      <c r="T13" s="30">
        <f t="shared" si="13"/>
        <v>81</v>
      </c>
      <c r="U13" s="30">
        <f t="shared" si="14"/>
        <v>729</v>
      </c>
    </row>
    <row r="14" spans="2:21" ht="15.75">
      <c r="B14" s="21">
        <f>SUM(B4:B13)</f>
        <v>57</v>
      </c>
      <c r="C14" s="21">
        <f>SUM(C4:C13)</f>
        <v>72</v>
      </c>
      <c r="D14" s="21">
        <f>SUM(D4:D13)</f>
        <v>10</v>
      </c>
      <c r="E14" s="21">
        <f>B14</f>
        <v>57</v>
      </c>
      <c r="F14" s="21">
        <f>SUM(F4:F13)</f>
        <v>25877</v>
      </c>
      <c r="G14" s="21">
        <f>SUM(G4:G13)</f>
        <v>401</v>
      </c>
      <c r="H14" s="21">
        <f t="shared" ref="H14:N14" si="15">SUM(H4:H13)</f>
        <v>223707</v>
      </c>
      <c r="I14" s="21">
        <f t="shared" si="15"/>
        <v>3123</v>
      </c>
      <c r="J14" s="21">
        <f t="shared" si="15"/>
        <v>1993301</v>
      </c>
      <c r="K14" s="21">
        <f t="shared" si="15"/>
        <v>72</v>
      </c>
      <c r="L14" s="21">
        <f t="shared" si="15"/>
        <v>488</v>
      </c>
      <c r="M14" s="29">
        <f t="shared" si="15"/>
        <v>3832</v>
      </c>
      <c r="N14" s="29">
        <f t="shared" si="15"/>
        <v>32468</v>
      </c>
    </row>
    <row r="15" spans="2:21" ht="15.75">
      <c r="M15" s="58" t="s">
        <v>33</v>
      </c>
      <c r="N15" s="59"/>
      <c r="P15" s="31" t="s">
        <v>47</v>
      </c>
      <c r="Q15" s="31" t="s">
        <v>48</v>
      </c>
    </row>
    <row r="18" spans="2:21">
      <c r="B18" s="65"/>
      <c r="C18" s="65"/>
      <c r="D18" s="65"/>
      <c r="E18" s="65"/>
      <c r="F18" s="60" t="s">
        <v>49</v>
      </c>
      <c r="G18" s="60"/>
      <c r="H18" s="60"/>
      <c r="I18" s="60"/>
      <c r="J18" s="60"/>
      <c r="K18" s="65"/>
      <c r="L18" s="65"/>
      <c r="M18" s="65"/>
      <c r="N18" s="65"/>
      <c r="O18" s="66" t="s">
        <v>50</v>
      </c>
      <c r="P18" s="67"/>
      <c r="Q18" s="65"/>
      <c r="R18" s="53" t="s">
        <v>51</v>
      </c>
      <c r="S18" s="54"/>
      <c r="T18" s="32"/>
      <c r="U18" s="32"/>
    </row>
    <row r="19" spans="2:21">
      <c r="B19" s="65"/>
      <c r="C19" s="65"/>
      <c r="D19" s="65"/>
      <c r="E19" s="65"/>
      <c r="F19" s="60"/>
      <c r="G19" s="60"/>
      <c r="H19" s="60"/>
      <c r="I19" s="60"/>
      <c r="J19" s="60"/>
      <c r="K19" s="65"/>
      <c r="L19" s="65"/>
      <c r="M19" s="65"/>
      <c r="N19" s="65"/>
      <c r="O19" s="67"/>
      <c r="P19" s="67"/>
      <c r="Q19" s="65"/>
      <c r="R19" s="54"/>
      <c r="S19" s="54"/>
      <c r="T19" s="32"/>
      <c r="U19" s="32"/>
    </row>
    <row r="20" spans="2:21">
      <c r="B20" s="65"/>
      <c r="C20" s="65"/>
      <c r="D20" s="65"/>
      <c r="E20" s="65"/>
      <c r="F20" s="60"/>
      <c r="G20" s="60"/>
      <c r="H20" s="60"/>
      <c r="I20" s="60"/>
      <c r="J20" s="60"/>
      <c r="K20" s="65"/>
      <c r="L20" s="65"/>
      <c r="M20" s="65"/>
      <c r="N20" s="65"/>
      <c r="O20" s="67"/>
      <c r="P20" s="67"/>
      <c r="Q20" s="65"/>
      <c r="R20" s="54"/>
      <c r="S20" s="54"/>
      <c r="T20" s="32"/>
      <c r="U20" s="32"/>
    </row>
    <row r="23" spans="2:21" ht="15.75">
      <c r="B23" s="3">
        <f>D14</f>
        <v>10</v>
      </c>
      <c r="C23" s="3">
        <f>B14</f>
        <v>57</v>
      </c>
      <c r="D23" s="3">
        <f>G14</f>
        <v>401</v>
      </c>
      <c r="E23" s="3">
        <f>I14</f>
        <v>3123</v>
      </c>
      <c r="F23" s="21">
        <f>C14</f>
        <v>72</v>
      </c>
      <c r="I23" s="3">
        <f>B23</f>
        <v>10</v>
      </c>
      <c r="J23" s="3">
        <f>C23</f>
        <v>57</v>
      </c>
      <c r="K23" s="3">
        <f>D23</f>
        <v>401</v>
      </c>
      <c r="L23" s="3">
        <f>E23</f>
        <v>3123</v>
      </c>
      <c r="M23" s="21">
        <f>F23</f>
        <v>72</v>
      </c>
    </row>
    <row r="24" spans="2:21" ht="15.75">
      <c r="B24" s="3">
        <f>B14</f>
        <v>57</v>
      </c>
      <c r="C24" s="3">
        <f>G14</f>
        <v>401</v>
      </c>
      <c r="D24" s="3">
        <f>I14</f>
        <v>3123</v>
      </c>
      <c r="E24" s="3">
        <f>F14</f>
        <v>25877</v>
      </c>
      <c r="F24" s="21">
        <f>L14</f>
        <v>488</v>
      </c>
      <c r="I24" s="34">
        <f>-$B$24*B23+$B$23*B24</f>
        <v>0</v>
      </c>
      <c r="J24" s="3">
        <f>-$B$24*C23+$B$23*C24</f>
        <v>761</v>
      </c>
      <c r="K24" s="3">
        <f>-$B$24*D23+$B$23*D24</f>
        <v>8373</v>
      </c>
      <c r="L24" s="3">
        <f>-$B$24*E23+$B$23*E24</f>
        <v>80759</v>
      </c>
      <c r="M24" s="21">
        <f>-$B$24*F23+$B$23*F24</f>
        <v>776</v>
      </c>
      <c r="O24" s="36" t="s">
        <v>52</v>
      </c>
      <c r="P24" s="17">
        <f>B24/B23</f>
        <v>5.7</v>
      </c>
      <c r="R24" s="35" t="s">
        <v>53</v>
      </c>
      <c r="S24" s="30">
        <f>M32/L32</f>
        <v>9.4391159224530272E-2</v>
      </c>
    </row>
    <row r="25" spans="2:21" ht="15.75">
      <c r="B25" s="3">
        <f>G14</f>
        <v>401</v>
      </c>
      <c r="C25" s="3">
        <f>I14</f>
        <v>3123</v>
      </c>
      <c r="D25" s="3">
        <f>F14</f>
        <v>25877</v>
      </c>
      <c r="E25" s="3">
        <f>H14</f>
        <v>223707</v>
      </c>
      <c r="F25" s="21">
        <f>M14</f>
        <v>3832</v>
      </c>
      <c r="I25" s="34">
        <f>-$B$25*B23+$B$23*B25</f>
        <v>0</v>
      </c>
      <c r="J25" s="3">
        <f>-$B25*C23+$B$23*C25</f>
        <v>8373</v>
      </c>
      <c r="K25" s="3">
        <f>-$B$25*D23+$B$23*D25</f>
        <v>97969</v>
      </c>
      <c r="L25" s="3">
        <f>-$B$25*E23+$B$23*E25</f>
        <v>984747</v>
      </c>
      <c r="M25" s="21">
        <f>-$B$25*F23+$B$23*F25</f>
        <v>9448</v>
      </c>
      <c r="O25" s="37" t="s">
        <v>54</v>
      </c>
      <c r="P25" s="38">
        <f>B25/B23</f>
        <v>40.1</v>
      </c>
      <c r="R25" s="35" t="s">
        <v>55</v>
      </c>
      <c r="S25" s="30">
        <f>(M31-L31*S24)/K31</f>
        <v>-1.3978664852618372</v>
      </c>
    </row>
    <row r="26" spans="2:21" ht="15.75">
      <c r="B26" s="3">
        <f>I14</f>
        <v>3123</v>
      </c>
      <c r="C26" s="3">
        <f>F14</f>
        <v>25877</v>
      </c>
      <c r="D26" s="3">
        <f>H14</f>
        <v>223707</v>
      </c>
      <c r="E26" s="3">
        <f>J14</f>
        <v>1993301</v>
      </c>
      <c r="F26" s="21">
        <f>N14</f>
        <v>32468</v>
      </c>
      <c r="I26" s="34">
        <f>-$B$26*B24+$B$24*B26</f>
        <v>0</v>
      </c>
      <c r="J26" s="3">
        <f>-$B$26*C23+$B23*C26</f>
        <v>80759</v>
      </c>
      <c r="K26" s="3">
        <f>-$B$26*D23+$B$23*D26</f>
        <v>984747</v>
      </c>
      <c r="L26" s="3">
        <f>-$B$26*E23+$B$23*E26</f>
        <v>10179881</v>
      </c>
      <c r="M26" s="33">
        <f>-$B26*F23+$B$23*F26</f>
        <v>99824</v>
      </c>
      <c r="O26" s="37" t="s">
        <v>56</v>
      </c>
      <c r="P26" s="38">
        <f>B26/B23</f>
        <v>312.3</v>
      </c>
      <c r="R26" s="35" t="s">
        <v>57</v>
      </c>
      <c r="S26" s="30">
        <f>(M30-L30*S24-K30*S25)/J30</f>
        <v>6.3829178098338009</v>
      </c>
    </row>
    <row r="27" spans="2:21" ht="15.75">
      <c r="R27" s="35" t="s">
        <v>58</v>
      </c>
      <c r="S27" s="30">
        <f>(M29-L29*S24-K29*S25-J29*S26)/I29</f>
        <v>-2.6065444828738009</v>
      </c>
    </row>
    <row r="28" spans="2:21" ht="15.75">
      <c r="O28" s="39" t="s">
        <v>59</v>
      </c>
      <c r="P28" s="41">
        <f>J25/J24</f>
        <v>11.002628120893561</v>
      </c>
    </row>
    <row r="29" spans="2:21" ht="15.75">
      <c r="B29" s="3">
        <f>B23</f>
        <v>10</v>
      </c>
      <c r="C29" s="3">
        <f t="shared" ref="C29:E29" si="16">C23</f>
        <v>57</v>
      </c>
      <c r="D29" s="3">
        <f t="shared" si="16"/>
        <v>401</v>
      </c>
      <c r="E29" s="3">
        <f t="shared" si="16"/>
        <v>3123</v>
      </c>
      <c r="F29" s="21">
        <f>M23</f>
        <v>72</v>
      </c>
      <c r="I29" s="3">
        <f>B23</f>
        <v>10</v>
      </c>
      <c r="J29" s="3">
        <f>C23</f>
        <v>57</v>
      </c>
      <c r="K29" s="3">
        <f>D23</f>
        <v>401</v>
      </c>
      <c r="L29" s="3">
        <f>E23</f>
        <v>3123</v>
      </c>
      <c r="M29" s="21">
        <f>F23</f>
        <v>72</v>
      </c>
      <c r="O29" s="36" t="s">
        <v>60</v>
      </c>
      <c r="P29" s="17">
        <f>J26/J24</f>
        <v>106.12220762155059</v>
      </c>
    </row>
    <row r="30" spans="2:21" ht="15.75">
      <c r="B30" s="34">
        <f>I24</f>
        <v>0</v>
      </c>
      <c r="C30" s="3">
        <f>J24</f>
        <v>761</v>
      </c>
      <c r="D30" s="3">
        <f>K24</f>
        <v>8373</v>
      </c>
      <c r="E30" s="3">
        <f>L24</f>
        <v>80759</v>
      </c>
      <c r="F30" s="21">
        <f>M24</f>
        <v>776</v>
      </c>
      <c r="I30" s="34">
        <f>I24</f>
        <v>0</v>
      </c>
      <c r="J30" s="3">
        <f t="shared" ref="J30:M30" si="17">J24</f>
        <v>761</v>
      </c>
      <c r="K30" s="3">
        <f t="shared" si="17"/>
        <v>8373</v>
      </c>
      <c r="L30" s="3">
        <f t="shared" si="17"/>
        <v>80759</v>
      </c>
      <c r="M30" s="21">
        <f t="shared" si="17"/>
        <v>776</v>
      </c>
    </row>
    <row r="31" spans="2:21" ht="15.75">
      <c r="B31" s="34">
        <f>I25</f>
        <v>0</v>
      </c>
      <c r="C31" s="34">
        <f>-$C25*C24+$C$24*C25</f>
        <v>0</v>
      </c>
      <c r="D31" s="3">
        <f>-$J$25*K24+$J$24*K25</f>
        <v>4447280</v>
      </c>
      <c r="E31" s="3">
        <f>-J$25*L24+$J$24*L25</f>
        <v>73197360</v>
      </c>
      <c r="F31" s="21">
        <f>-$J$25*M24+$J24*M25</f>
        <v>692480</v>
      </c>
      <c r="I31" s="34">
        <f>B31</f>
        <v>0</v>
      </c>
      <c r="J31" s="34">
        <f>C31</f>
        <v>0</v>
      </c>
      <c r="K31" s="3">
        <f>D31</f>
        <v>4447280</v>
      </c>
      <c r="L31" s="3">
        <f>E31</f>
        <v>73197360</v>
      </c>
      <c r="M31" s="21">
        <f>F31</f>
        <v>692480</v>
      </c>
      <c r="N31" s="40"/>
      <c r="O31" s="36" t="s">
        <v>61</v>
      </c>
      <c r="P31" s="17">
        <f>D32/D31</f>
        <v>16.458905218470615</v>
      </c>
    </row>
    <row r="32" spans="2:21" ht="15.75">
      <c r="B32" s="34">
        <f>I26</f>
        <v>0</v>
      </c>
      <c r="C32" s="34">
        <f>-J26*J24+J24*J26</f>
        <v>0</v>
      </c>
      <c r="D32" s="3">
        <f>-$J$26*K24+$J$24*K26</f>
        <v>73197360</v>
      </c>
      <c r="E32" s="3">
        <f>-$J$26*L24+$J$24*L26</f>
        <v>1224873360</v>
      </c>
      <c r="F32" s="21">
        <f>-$J$26*M24+$J$24*M26</f>
        <v>13297080</v>
      </c>
      <c r="I32" s="34">
        <f>B32</f>
        <v>0</v>
      </c>
      <c r="J32" s="34">
        <f>C32</f>
        <v>0</v>
      </c>
      <c r="K32" s="34">
        <f>-$D$32*D31+$D$31*D32</f>
        <v>0</v>
      </c>
      <c r="L32" s="3">
        <f>-$D$32*E31+$D$31*E32</f>
        <v>89501285491200</v>
      </c>
      <c r="M32" s="21">
        <f>-$D$32*F31+$D$31*F32</f>
        <v>8448130089600</v>
      </c>
    </row>
  </sheetData>
  <mergeCells count="19">
    <mergeCell ref="B18:E20"/>
    <mergeCell ref="O18:P20"/>
    <mergeCell ref="Q18:Q20"/>
    <mergeCell ref="R18:S20"/>
    <mergeCell ref="P3:U3"/>
    <mergeCell ref="B2:N2"/>
    <mergeCell ref="M15:N15"/>
    <mergeCell ref="F18:J20"/>
    <mergeCell ref="P4:Q4"/>
    <mergeCell ref="P5:Q5"/>
    <mergeCell ref="P7:Q7"/>
    <mergeCell ref="P6:Q6"/>
    <mergeCell ref="P8:Q8"/>
    <mergeCell ref="P10:Q10"/>
    <mergeCell ref="P9:Q9"/>
    <mergeCell ref="P11:Q11"/>
    <mergeCell ref="P13:Q13"/>
    <mergeCell ref="P12:Q12"/>
    <mergeCell ref="K18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Douglas Masuzzo Brasilio</cp:lastModifiedBy>
  <cp:revision/>
  <dcterms:created xsi:type="dcterms:W3CDTF">2025-11-23T01:34:11Z</dcterms:created>
  <dcterms:modified xsi:type="dcterms:W3CDTF">2025-11-26T19:14:04Z</dcterms:modified>
  <cp:category/>
  <cp:contentStatus/>
</cp:coreProperties>
</file>