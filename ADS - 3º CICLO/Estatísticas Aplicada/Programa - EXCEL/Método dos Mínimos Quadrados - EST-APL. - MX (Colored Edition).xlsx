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flatx\Downloads\"/>
    </mc:Choice>
  </mc:AlternateContent>
  <xr:revisionPtr revIDLastSave="67" documentId="13_ncr:1_{7D6AC5F7-2AA2-413E-B0FF-EA53447753D4}" xr6:coauthVersionLast="47" xr6:coauthVersionMax="47" xr10:uidLastSave="{7330C1CF-30B1-4800-A8AD-B57F73C8F8F3}"/>
  <bookViews>
    <workbookView xWindow="-120" yWindow="-120" windowWidth="20730" windowHeight="11310" firstSheet="2" activeTab="2" xr2:uid="{00000000-000D-0000-FFFF-FFFF00000000}"/>
  </bookViews>
  <sheets>
    <sheet name="MMQ (2 Linhas)" sheetId="5" r:id="rId1"/>
    <sheet name="MMQ (3 Linhas)" sheetId="6" r:id="rId2"/>
    <sheet name="MMQ (4 Linhas)" sheetId="8" r:id="rId3"/>
    <sheet name="Interpolação (4 Linhas)" sheetId="7" r:id="rId4"/>
  </sheets>
  <calcPr calcId="191028" iterate="1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A2" i="8"/>
  <c r="W3" i="8"/>
  <c r="X12" i="8"/>
  <c r="W12" i="8"/>
  <c r="H9" i="8"/>
  <c r="H8" i="8"/>
  <c r="H7" i="8"/>
  <c r="Y4" i="8"/>
  <c r="Y5" i="8"/>
  <c r="Y6" i="8"/>
  <c r="Y7" i="8"/>
  <c r="Y8" i="8"/>
  <c r="Y9" i="8"/>
  <c r="Y10" i="8"/>
  <c r="Y11" i="8"/>
  <c r="Y12" i="8"/>
  <c r="X4" i="8"/>
  <c r="X5" i="8"/>
  <c r="X6" i="8"/>
  <c r="X7" i="8"/>
  <c r="X8" i="8"/>
  <c r="X9" i="8"/>
  <c r="X10" i="8"/>
  <c r="X11" i="8"/>
  <c r="W4" i="8"/>
  <c r="W5" i="8"/>
  <c r="W6" i="8"/>
  <c r="W7" i="8"/>
  <c r="W8" i="8"/>
  <c r="W9" i="8"/>
  <c r="W10" i="8"/>
  <c r="W11" i="8"/>
  <c r="S8" i="8"/>
  <c r="U4" i="8"/>
  <c r="U5" i="8"/>
  <c r="U6" i="8"/>
  <c r="U7" i="8"/>
  <c r="U8" i="8"/>
  <c r="U9" i="8"/>
  <c r="U10" i="8"/>
  <c r="U11" i="8"/>
  <c r="U12" i="8"/>
  <c r="T4" i="8"/>
  <c r="T5" i="8"/>
  <c r="T6" i="8"/>
  <c r="T7" i="8"/>
  <c r="T8" i="8"/>
  <c r="T9" i="8"/>
  <c r="T10" i="8"/>
  <c r="T11" i="8"/>
  <c r="T12" i="8"/>
  <c r="S4" i="8"/>
  <c r="S5" i="8"/>
  <c r="S6" i="8"/>
  <c r="S7" i="8"/>
  <c r="S9" i="8"/>
  <c r="S10" i="8"/>
  <c r="S11" i="8"/>
  <c r="S12" i="8"/>
  <c r="P4" i="8"/>
  <c r="P5" i="8"/>
  <c r="P6" i="8"/>
  <c r="P7" i="8"/>
  <c r="P8" i="8"/>
  <c r="P9" i="8"/>
  <c r="P10" i="8"/>
  <c r="P11" i="8"/>
  <c r="P12" i="8"/>
  <c r="Q4" i="8"/>
  <c r="Q5" i="8"/>
  <c r="Q6" i="8"/>
  <c r="Q7" i="8"/>
  <c r="Q8" i="8"/>
  <c r="Q9" i="8"/>
  <c r="Q10" i="8"/>
  <c r="Q11" i="8"/>
  <c r="Q12" i="8"/>
  <c r="R4" i="8"/>
  <c r="R5" i="8"/>
  <c r="R6" i="8"/>
  <c r="R7" i="8"/>
  <c r="R8" i="8"/>
  <c r="R9" i="8"/>
  <c r="R10" i="8"/>
  <c r="R11" i="8"/>
  <c r="R12" i="8"/>
  <c r="Z4" i="8"/>
  <c r="Z5" i="8"/>
  <c r="Z6" i="8"/>
  <c r="Z7" i="8"/>
  <c r="Z8" i="8"/>
  <c r="Z9" i="8"/>
  <c r="Z10" i="8"/>
  <c r="Z11" i="8"/>
  <c r="Z12" i="8"/>
  <c r="Z3" i="8"/>
  <c r="S3" i="6"/>
  <c r="R3" i="6"/>
  <c r="X3" i="8"/>
  <c r="Y3" i="8"/>
  <c r="U3" i="8"/>
  <c r="T3" i="8"/>
  <c r="S3" i="8"/>
  <c r="R3" i="8"/>
  <c r="Q3" i="8"/>
  <c r="P3" i="8"/>
  <c r="N3" i="5"/>
  <c r="M4" i="5"/>
  <c r="M5" i="5"/>
  <c r="M6" i="5"/>
  <c r="M7" i="5"/>
  <c r="M8" i="5"/>
  <c r="M9" i="5"/>
  <c r="M10" i="5"/>
  <c r="M11" i="5"/>
  <c r="M12" i="5"/>
  <c r="M3" i="5"/>
  <c r="N14" i="8"/>
  <c r="O14" i="8"/>
  <c r="V12" i="8"/>
  <c r="V11" i="8"/>
  <c r="V10" i="8"/>
  <c r="V9" i="8"/>
  <c r="V8" i="8"/>
  <c r="V7" i="8"/>
  <c r="V6" i="8"/>
  <c r="V5" i="8"/>
  <c r="V4" i="8"/>
  <c r="V3" i="8"/>
  <c r="V14" i="8" s="1"/>
  <c r="D5" i="8" s="1"/>
  <c r="G8" i="6"/>
  <c r="G7" i="6"/>
  <c r="G6" i="6"/>
  <c r="F7" i="5"/>
  <c r="F6" i="5"/>
  <c r="F5" i="5"/>
  <c r="K14" i="6"/>
  <c r="D3" i="7"/>
  <c r="D4" i="7"/>
  <c r="D5" i="7"/>
  <c r="C3" i="7"/>
  <c r="C4" i="7"/>
  <c r="C5" i="7"/>
  <c r="B3" i="7"/>
  <c r="B4" i="7"/>
  <c r="B5" i="7"/>
  <c r="D2" i="7"/>
  <c r="D7" i="7" s="1"/>
  <c r="D12" i="7" s="1"/>
  <c r="D17" i="7" s="1"/>
  <c r="C2" i="7"/>
  <c r="B2" i="7"/>
  <c r="B7" i="7" s="1"/>
  <c r="B12" i="7" s="1"/>
  <c r="B17" i="7" s="1"/>
  <c r="E3" i="7"/>
  <c r="E4" i="7"/>
  <c r="E5" i="7"/>
  <c r="E2" i="7"/>
  <c r="E8" i="7" s="1"/>
  <c r="E13" i="7" s="1"/>
  <c r="E18" i="7" s="1"/>
  <c r="A9" i="7"/>
  <c r="A14" i="7" s="1"/>
  <c r="A19" i="7" s="1"/>
  <c r="A8" i="7"/>
  <c r="A13" i="7" s="1"/>
  <c r="A18" i="7" s="1"/>
  <c r="A7" i="7"/>
  <c r="A12" i="7" s="1"/>
  <c r="A17" i="7" s="1"/>
  <c r="Q3" i="6"/>
  <c r="P3" i="6"/>
  <c r="O3" i="6"/>
  <c r="N3" i="6"/>
  <c r="M3" i="6"/>
  <c r="T4" i="6"/>
  <c r="T5" i="6"/>
  <c r="T6" i="6"/>
  <c r="T7" i="6"/>
  <c r="T8" i="6"/>
  <c r="T9" i="6"/>
  <c r="T10" i="6"/>
  <c r="T11" i="6"/>
  <c r="T12" i="6"/>
  <c r="T3" i="6"/>
  <c r="S4" i="6"/>
  <c r="S5" i="6"/>
  <c r="S6" i="6"/>
  <c r="S7" i="6"/>
  <c r="S8" i="6"/>
  <c r="S9" i="6"/>
  <c r="S10" i="6"/>
  <c r="S11" i="6"/>
  <c r="S12" i="6"/>
  <c r="R4" i="6"/>
  <c r="R5" i="6"/>
  <c r="R6" i="6"/>
  <c r="R7" i="6"/>
  <c r="R8" i="6"/>
  <c r="R9" i="6"/>
  <c r="R10" i="6"/>
  <c r="R11" i="6"/>
  <c r="R12" i="6"/>
  <c r="Q4" i="6"/>
  <c r="Q5" i="6"/>
  <c r="Q6" i="6"/>
  <c r="Q7" i="6"/>
  <c r="Q8" i="6"/>
  <c r="Q9" i="6"/>
  <c r="Q10" i="6"/>
  <c r="Q11" i="6"/>
  <c r="Q12" i="6"/>
  <c r="P4" i="6"/>
  <c r="P5" i="6"/>
  <c r="P6" i="6"/>
  <c r="P7" i="6"/>
  <c r="P8" i="6"/>
  <c r="P9" i="6"/>
  <c r="P10" i="6"/>
  <c r="P11" i="6"/>
  <c r="P12" i="6"/>
  <c r="O4" i="6"/>
  <c r="O5" i="6"/>
  <c r="O6" i="6"/>
  <c r="O7" i="6"/>
  <c r="O8" i="6"/>
  <c r="O9" i="6"/>
  <c r="O10" i="6"/>
  <c r="O11" i="6"/>
  <c r="O12" i="6"/>
  <c r="N4" i="6"/>
  <c r="N5" i="6"/>
  <c r="N6" i="6"/>
  <c r="N7" i="6"/>
  <c r="N8" i="6"/>
  <c r="N9" i="6"/>
  <c r="N10" i="6"/>
  <c r="N11" i="6"/>
  <c r="N12" i="6"/>
  <c r="M4" i="6"/>
  <c r="M5" i="6"/>
  <c r="M6" i="6"/>
  <c r="M7" i="6"/>
  <c r="M8" i="6"/>
  <c r="M9" i="6"/>
  <c r="M10" i="6"/>
  <c r="M11" i="6"/>
  <c r="M12" i="6"/>
  <c r="L14" i="6"/>
  <c r="Q4" i="5"/>
  <c r="Q5" i="5"/>
  <c r="Q6" i="5"/>
  <c r="Q7" i="5"/>
  <c r="Q8" i="5"/>
  <c r="Q9" i="5"/>
  <c r="Q10" i="5"/>
  <c r="Q11" i="5"/>
  <c r="Q12" i="5"/>
  <c r="Q3" i="5"/>
  <c r="P4" i="5"/>
  <c r="P5" i="5"/>
  <c r="P6" i="5"/>
  <c r="P7" i="5"/>
  <c r="P8" i="5"/>
  <c r="P9" i="5"/>
  <c r="P10" i="5"/>
  <c r="P11" i="5"/>
  <c r="P12" i="5"/>
  <c r="P3" i="5"/>
  <c r="O4" i="5"/>
  <c r="O5" i="5"/>
  <c r="O6" i="5"/>
  <c r="O7" i="5"/>
  <c r="O8" i="5"/>
  <c r="O9" i="5"/>
  <c r="O10" i="5"/>
  <c r="O11" i="5"/>
  <c r="O12" i="5"/>
  <c r="O3" i="5"/>
  <c r="L14" i="5"/>
  <c r="K14" i="5"/>
  <c r="N4" i="5"/>
  <c r="N5" i="5"/>
  <c r="N6" i="5"/>
  <c r="N7" i="5"/>
  <c r="N8" i="5"/>
  <c r="N9" i="5"/>
  <c r="N10" i="5"/>
  <c r="N11" i="5"/>
  <c r="N12" i="5"/>
  <c r="Z14" i="8" l="1"/>
  <c r="E5" i="8" s="1"/>
  <c r="P14" i="8"/>
  <c r="U14" i="8"/>
  <c r="S14" i="8"/>
  <c r="A7" i="8"/>
  <c r="A12" i="8" s="1"/>
  <c r="A17" i="8" s="1"/>
  <c r="X14" i="8"/>
  <c r="E3" i="8" s="1"/>
  <c r="R14" i="8"/>
  <c r="T14" i="8"/>
  <c r="Q14" i="8"/>
  <c r="Y14" i="8"/>
  <c r="E4" i="8" s="1"/>
  <c r="W14" i="8"/>
  <c r="E2" i="8" s="1"/>
  <c r="E7" i="8" s="1"/>
  <c r="E12" i="8" s="1"/>
  <c r="E17" i="8" s="1"/>
  <c r="O14" i="6"/>
  <c r="P14" i="6"/>
  <c r="M14" i="6"/>
  <c r="N14" i="6"/>
  <c r="B2" i="6" s="1"/>
  <c r="Q14" i="6"/>
  <c r="C4" i="6" s="1"/>
  <c r="B9" i="7"/>
  <c r="B10" i="7"/>
  <c r="B8" i="7"/>
  <c r="B13" i="7" s="1"/>
  <c r="B18" i="7" s="1"/>
  <c r="E7" i="7"/>
  <c r="E12" i="7" s="1"/>
  <c r="E17" i="7" s="1"/>
  <c r="E9" i="7"/>
  <c r="C8" i="7"/>
  <c r="C13" i="7" s="1"/>
  <c r="C18" i="7" s="1"/>
  <c r="D9" i="7"/>
  <c r="E10" i="7"/>
  <c r="C9" i="7"/>
  <c r="C10" i="7"/>
  <c r="D8" i="7"/>
  <c r="D13" i="7" s="1"/>
  <c r="D18" i="7" s="1"/>
  <c r="C7" i="7"/>
  <c r="C12" i="7" s="1"/>
  <c r="C17" i="7" s="1"/>
  <c r="D10" i="7"/>
  <c r="A10" i="7"/>
  <c r="A15" i="7" s="1"/>
  <c r="A20" i="7" s="1"/>
  <c r="B14" i="7"/>
  <c r="B19" i="7" s="1"/>
  <c r="B15" i="7"/>
  <c r="B20" i="7" s="1"/>
  <c r="C3" i="6"/>
  <c r="M14" i="5"/>
  <c r="T14" i="6"/>
  <c r="D4" i="6" s="1"/>
  <c r="O14" i="5"/>
  <c r="B3" i="5" s="1"/>
  <c r="P14" i="5"/>
  <c r="C2" i="5" s="1"/>
  <c r="C5" i="5" s="1"/>
  <c r="Q14" i="5"/>
  <c r="C3" i="5" s="1"/>
  <c r="N14" i="5"/>
  <c r="A3" i="5" s="1"/>
  <c r="R14" i="6"/>
  <c r="S14" i="6"/>
  <c r="D3" i="6" s="1"/>
  <c r="D2" i="6" l="1"/>
  <c r="D6" i="6" s="1"/>
  <c r="D10" i="6" s="1"/>
  <c r="A2" i="6"/>
  <c r="A6" i="6" s="1"/>
  <c r="A10" i="6" s="1"/>
  <c r="B2" i="8"/>
  <c r="A3" i="8"/>
  <c r="D3" i="8"/>
  <c r="C4" i="8"/>
  <c r="B5" i="8"/>
  <c r="D2" i="8"/>
  <c r="D7" i="8" s="1"/>
  <c r="D12" i="8" s="1"/>
  <c r="D17" i="8" s="1"/>
  <c r="A5" i="8"/>
  <c r="C3" i="8"/>
  <c r="B4" i="8"/>
  <c r="C2" i="8"/>
  <c r="A4" i="8"/>
  <c r="E9" i="8" s="1"/>
  <c r="B3" i="8"/>
  <c r="C5" i="8"/>
  <c r="B7" i="8"/>
  <c r="B12" i="8" s="1"/>
  <c r="B17" i="8" s="1"/>
  <c r="A2" i="5"/>
  <c r="A5" i="5" s="1"/>
  <c r="E15" i="7"/>
  <c r="E14" i="7"/>
  <c r="E19" i="7" s="1"/>
  <c r="C15" i="7"/>
  <c r="C14" i="7"/>
  <c r="C19" i="7" s="1"/>
  <c r="D14" i="7"/>
  <c r="D19" i="7" s="1"/>
  <c r="D15" i="7"/>
  <c r="B4" i="6"/>
  <c r="A4" i="6"/>
  <c r="B3" i="6"/>
  <c r="C2" i="6"/>
  <c r="C6" i="6" s="1"/>
  <c r="C10" i="6" s="1"/>
  <c r="B6" i="6"/>
  <c r="B10" i="6" s="1"/>
  <c r="A3" i="6"/>
  <c r="B2" i="5"/>
  <c r="B5" i="5" s="1"/>
  <c r="C10" i="8" l="1"/>
  <c r="B9" i="8"/>
  <c r="E10" i="8"/>
  <c r="A9" i="8"/>
  <c r="A14" i="8" s="1"/>
  <c r="A19" i="8" s="1"/>
  <c r="D9" i="8"/>
  <c r="D10" i="8"/>
  <c r="A10" i="8"/>
  <c r="A15" i="8" s="1"/>
  <c r="A20" i="8" s="1"/>
  <c r="C9" i="8"/>
  <c r="C7" i="8"/>
  <c r="C12" i="8" s="1"/>
  <c r="C17" i="8" s="1"/>
  <c r="D8" i="8"/>
  <c r="D13" i="8" s="1"/>
  <c r="D18" i="8" s="1"/>
  <c r="C8" i="8"/>
  <c r="C13" i="8" s="1"/>
  <c r="C18" i="8" s="1"/>
  <c r="A8" i="8"/>
  <c r="A13" i="8" s="1"/>
  <c r="A18" i="8" s="1"/>
  <c r="E8" i="8"/>
  <c r="E13" i="8" s="1"/>
  <c r="E18" i="8" s="1"/>
  <c r="B8" i="8"/>
  <c r="B13" i="8" s="1"/>
  <c r="B18" i="8" s="1"/>
  <c r="B10" i="8"/>
  <c r="C6" i="5"/>
  <c r="A6" i="5"/>
  <c r="C20" i="7"/>
  <c r="E20" i="7"/>
  <c r="D20" i="7"/>
  <c r="A7" i="6"/>
  <c r="A11" i="6" s="1"/>
  <c r="C7" i="6"/>
  <c r="C11" i="6" s="1"/>
  <c r="B7" i="6"/>
  <c r="B11" i="6" s="1"/>
  <c r="D7" i="6"/>
  <c r="D11" i="6" s="1"/>
  <c r="B8" i="6"/>
  <c r="C8" i="6"/>
  <c r="A8" i="6"/>
  <c r="A12" i="6" s="1"/>
  <c r="D8" i="6"/>
  <c r="B6" i="5"/>
  <c r="E14" i="8" l="1"/>
  <c r="E19" i="8" s="1"/>
  <c r="E15" i="8"/>
  <c r="D14" i="8"/>
  <c r="D19" i="8" s="1"/>
  <c r="D15" i="8"/>
  <c r="C14" i="8"/>
  <c r="C19" i="8" s="1"/>
  <c r="C15" i="8"/>
  <c r="B15" i="8"/>
  <c r="B20" i="8" s="1"/>
  <c r="B14" i="8"/>
  <c r="B19" i="8" s="1"/>
  <c r="F2" i="5"/>
  <c r="I2" i="7"/>
  <c r="J2" i="7" s="1"/>
  <c r="B12" i="6"/>
  <c r="C12" i="6"/>
  <c r="D12" i="6"/>
  <c r="E2" i="5"/>
  <c r="E20" i="8" l="1"/>
  <c r="C20" i="8"/>
  <c r="D20" i="8"/>
  <c r="G2" i="8"/>
  <c r="H2" i="8" s="1"/>
  <c r="F3" i="5"/>
  <c r="E3" i="5"/>
  <c r="I3" i="7"/>
  <c r="J3" i="7" s="1"/>
  <c r="G2" i="6"/>
  <c r="F2" i="6"/>
  <c r="G3" i="8" l="1"/>
  <c r="H3" i="8" s="1"/>
  <c r="I4" i="7"/>
  <c r="J4" i="7" s="1"/>
  <c r="F3" i="6"/>
  <c r="F4" i="6" s="1"/>
  <c r="G3" i="6"/>
  <c r="G4" i="8" l="1"/>
  <c r="H4" i="8" s="1"/>
  <c r="G5" i="8"/>
  <c r="H5" i="8" s="1"/>
  <c r="I5" i="7"/>
  <c r="J5" i="7" s="1"/>
  <c r="H10" i="7" s="1"/>
  <c r="G4" i="6"/>
</calcChain>
</file>

<file path=xl/sharedStrings.xml><?xml version="1.0" encoding="utf-8"?>
<sst xmlns="http://schemas.openxmlformats.org/spreadsheetml/2006/main" count="75" uniqueCount="35">
  <si>
    <t>2 Linhas</t>
  </si>
  <si>
    <t>Geral</t>
  </si>
  <si>
    <t>Fração</t>
  </si>
  <si>
    <t>b=</t>
  </si>
  <si>
    <t>X</t>
  </si>
  <si>
    <t>Y</t>
  </si>
  <si>
    <t>G1G1</t>
  </si>
  <si>
    <t>G1G2</t>
  </si>
  <si>
    <t>G2G2</t>
  </si>
  <si>
    <t>G1Y</t>
  </si>
  <si>
    <t>G2Y</t>
  </si>
  <si>
    <t>a=</t>
  </si>
  <si>
    <t>Pearson=</t>
  </si>
  <si>
    <t>x̄=</t>
  </si>
  <si>
    <t>ȳ=</t>
  </si>
  <si>
    <t>Result=</t>
  </si>
  <si>
    <t>aX + b</t>
  </si>
  <si>
    <t>3 Linhas</t>
  </si>
  <si>
    <t>c=</t>
  </si>
  <si>
    <t>G1G3</t>
  </si>
  <si>
    <t>G2G3</t>
  </si>
  <si>
    <t>G3G3</t>
  </si>
  <si>
    <t>G3Y</t>
  </si>
  <si>
    <t>Ax² + bx + c</t>
  </si>
  <si>
    <t>4 Linhas</t>
  </si>
  <si>
    <t>d=</t>
  </si>
  <si>
    <t>G1G4</t>
  </si>
  <si>
    <t>G2G4</t>
  </si>
  <si>
    <t>G3G4</t>
  </si>
  <si>
    <t>G4G4</t>
  </si>
  <si>
    <t>G4Y</t>
  </si>
  <si>
    <t>Ax³ + bx² + cx + d</t>
  </si>
  <si>
    <t>P(</t>
  </si>
  <si>
    <t>)</t>
  </si>
  <si>
    <t>P(x)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</si>
</sst>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3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vertical="center" readingOrder="1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B0023F-C2E5-2D80-D85B-2F8A13D5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83E9-1FF7-493A-B6E1-1140BBD4E6A2}">
  <dimension ref="A1:Q42"/>
  <sheetViews>
    <sheetView zoomScaleNormal="100" workbookViewId="0">
      <selection activeCell="N3" sqref="N3"/>
    </sheetView>
  </sheetViews>
  <sheetFormatPr defaultRowHeight="15"/>
  <cols>
    <col min="5" max="5" width="10" customWidth="1"/>
    <col min="6" max="6" width="10.7109375" customWidth="1"/>
    <col min="7" max="7" width="9.7109375" customWidth="1"/>
  </cols>
  <sheetData>
    <row r="1" spans="1:17">
      <c r="A1" t="s">
        <v>0</v>
      </c>
      <c r="E1" s="2" t="s">
        <v>1</v>
      </c>
      <c r="F1" s="2" t="s">
        <v>2</v>
      </c>
      <c r="I1" s="4"/>
    </row>
    <row r="2" spans="1:17">
      <c r="A2" s="6">
        <f>M14</f>
        <v>0</v>
      </c>
      <c r="B2" s="6">
        <f>N14</f>
        <v>0</v>
      </c>
      <c r="C2" s="6">
        <f>P14</f>
        <v>0</v>
      </c>
      <c r="D2" s="1" t="s">
        <v>3</v>
      </c>
      <c r="E2" s="5" t="e">
        <f>C6/B6</f>
        <v>#DIV/0!</v>
      </c>
      <c r="F2" s="7" t="e">
        <f>C6/B6</f>
        <v>#DIV/0!</v>
      </c>
      <c r="I2" s="4"/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  <c r="P2" s="5" t="s">
        <v>9</v>
      </c>
      <c r="Q2" s="5" t="s">
        <v>10</v>
      </c>
    </row>
    <row r="3" spans="1:17">
      <c r="A3" s="6">
        <f>N14</f>
        <v>0</v>
      </c>
      <c r="B3" s="6">
        <f>O14</f>
        <v>10</v>
      </c>
      <c r="C3" s="6">
        <f>Q14</f>
        <v>0</v>
      </c>
      <c r="D3" s="1" t="s">
        <v>11</v>
      </c>
      <c r="E3" s="5" t="e">
        <f>(C5-B5*E2)/A5</f>
        <v>#DIV/0!</v>
      </c>
      <c r="F3" s="7" t="e">
        <f>(C5-B5*E2)/A5</f>
        <v>#DIV/0!</v>
      </c>
      <c r="I3" s="4"/>
      <c r="K3" s="8">
        <v>0</v>
      </c>
      <c r="L3" s="8">
        <v>0</v>
      </c>
      <c r="M3" s="5">
        <f>K3^2</f>
        <v>0</v>
      </c>
      <c r="N3" s="5">
        <f>K3</f>
        <v>0</v>
      </c>
      <c r="O3" s="5">
        <f>1*1</f>
        <v>1</v>
      </c>
      <c r="P3" s="5">
        <f t="shared" ref="P3:P12" si="0">K3*L3</f>
        <v>0</v>
      </c>
      <c r="Q3" s="5">
        <f t="shared" ref="Q3:Q12" si="1">L3 * 1</f>
        <v>0</v>
      </c>
    </row>
    <row r="4" spans="1:17">
      <c r="I4" s="4"/>
      <c r="K4" s="8">
        <v>0</v>
      </c>
      <c r="L4" s="8">
        <v>0</v>
      </c>
      <c r="M4" s="5">
        <f t="shared" ref="M4:M12" si="2">K4^2</f>
        <v>0</v>
      </c>
      <c r="N4" s="5">
        <f t="shared" ref="N4:N12" si="3">K4</f>
        <v>0</v>
      </c>
      <c r="O4" s="5">
        <f t="shared" ref="O4:O12" si="4">1*1</f>
        <v>1</v>
      </c>
      <c r="P4" s="5">
        <f t="shared" si="0"/>
        <v>0</v>
      </c>
      <c r="Q4" s="5">
        <f t="shared" si="1"/>
        <v>0</v>
      </c>
    </row>
    <row r="5" spans="1:17">
      <c r="A5" s="5">
        <f>A2</f>
        <v>0</v>
      </c>
      <c r="B5" s="5">
        <f>B2</f>
        <v>0</v>
      </c>
      <c r="C5" s="5">
        <f>C2</f>
        <v>0</v>
      </c>
      <c r="E5" s="1" t="s">
        <v>12</v>
      </c>
      <c r="F5" s="5" t="e">
        <f>PEARSON(K3:K12,L3:L12)</f>
        <v>#DIV/0!</v>
      </c>
      <c r="I5" s="4"/>
      <c r="K5" s="8">
        <v>0</v>
      </c>
      <c r="L5" s="8">
        <v>0</v>
      </c>
      <c r="M5" s="5">
        <f t="shared" si="2"/>
        <v>0</v>
      </c>
      <c r="N5" s="5">
        <f t="shared" si="3"/>
        <v>0</v>
      </c>
      <c r="O5" s="5">
        <f t="shared" si="4"/>
        <v>1</v>
      </c>
      <c r="P5" s="5">
        <f t="shared" si="0"/>
        <v>0</v>
      </c>
      <c r="Q5" s="5">
        <f t="shared" si="1"/>
        <v>0</v>
      </c>
    </row>
    <row r="6" spans="1:17">
      <c r="A6" s="5">
        <f>-A3*A2+A2*A3</f>
        <v>0</v>
      </c>
      <c r="B6" s="5">
        <f>-A3*B2+A2*B3</f>
        <v>0</v>
      </c>
      <c r="C6" s="5">
        <f>-A3*C2+A2*C3</f>
        <v>0</v>
      </c>
      <c r="E6" s="1" t="s">
        <v>13</v>
      </c>
      <c r="F6" s="5">
        <f>SUM(K3:K12)/10</f>
        <v>0</v>
      </c>
      <c r="I6" s="4"/>
      <c r="K6" s="8">
        <v>0</v>
      </c>
      <c r="L6" s="8">
        <v>0</v>
      </c>
      <c r="M6" s="5">
        <f t="shared" si="2"/>
        <v>0</v>
      </c>
      <c r="N6" s="5">
        <f t="shared" si="3"/>
        <v>0</v>
      </c>
      <c r="O6" s="5">
        <f t="shared" si="4"/>
        <v>1</v>
      </c>
      <c r="P6" s="5">
        <f t="shared" si="0"/>
        <v>0</v>
      </c>
      <c r="Q6" s="5">
        <f t="shared" si="1"/>
        <v>0</v>
      </c>
    </row>
    <row r="7" spans="1:17">
      <c r="E7" s="1" t="s">
        <v>14</v>
      </c>
      <c r="F7" s="5">
        <f>SUM(L3:L12)/10</f>
        <v>0</v>
      </c>
      <c r="I7" s="4"/>
      <c r="K7" s="8">
        <v>0</v>
      </c>
      <c r="L7" s="8">
        <v>0</v>
      </c>
      <c r="M7" s="5">
        <f t="shared" si="2"/>
        <v>0</v>
      </c>
      <c r="N7" s="5">
        <f t="shared" si="3"/>
        <v>0</v>
      </c>
      <c r="O7" s="5">
        <f t="shared" si="4"/>
        <v>1</v>
      </c>
      <c r="P7" s="5">
        <f t="shared" si="0"/>
        <v>0</v>
      </c>
      <c r="Q7" s="5">
        <f t="shared" si="1"/>
        <v>0</v>
      </c>
    </row>
    <row r="8" spans="1:17">
      <c r="I8" s="4"/>
      <c r="K8" s="8">
        <v>0</v>
      </c>
      <c r="L8" s="8">
        <v>0</v>
      </c>
      <c r="M8" s="5">
        <f t="shared" si="2"/>
        <v>0</v>
      </c>
      <c r="N8" s="5">
        <f t="shared" si="3"/>
        <v>0</v>
      </c>
      <c r="O8" s="5">
        <f t="shared" si="4"/>
        <v>1</v>
      </c>
      <c r="P8" s="5">
        <f t="shared" si="0"/>
        <v>0</v>
      </c>
      <c r="Q8" s="5">
        <f t="shared" si="1"/>
        <v>0</v>
      </c>
    </row>
    <row r="9" spans="1:17">
      <c r="E9" s="1" t="s">
        <v>15</v>
      </c>
      <c r="F9" s="13" t="s">
        <v>16</v>
      </c>
      <c r="I9" s="4"/>
      <c r="K9" s="8">
        <v>0</v>
      </c>
      <c r="L9" s="8">
        <v>0</v>
      </c>
      <c r="M9" s="5">
        <f t="shared" si="2"/>
        <v>0</v>
      </c>
      <c r="N9" s="5">
        <f t="shared" si="3"/>
        <v>0</v>
      </c>
      <c r="O9" s="5">
        <f t="shared" si="4"/>
        <v>1</v>
      </c>
      <c r="P9" s="5">
        <f t="shared" si="0"/>
        <v>0</v>
      </c>
      <c r="Q9" s="5">
        <f t="shared" si="1"/>
        <v>0</v>
      </c>
    </row>
    <row r="10" spans="1:17">
      <c r="I10" s="4"/>
      <c r="K10" s="8">
        <v>0</v>
      </c>
      <c r="L10" s="8">
        <v>0</v>
      </c>
      <c r="M10" s="5">
        <f t="shared" si="2"/>
        <v>0</v>
      </c>
      <c r="N10" s="5">
        <f t="shared" si="3"/>
        <v>0</v>
      </c>
      <c r="O10" s="5">
        <f t="shared" si="4"/>
        <v>1</v>
      </c>
      <c r="P10" s="5">
        <f t="shared" si="0"/>
        <v>0</v>
      </c>
      <c r="Q10" s="5">
        <f t="shared" si="1"/>
        <v>0</v>
      </c>
    </row>
    <row r="11" spans="1:17">
      <c r="I11" s="4"/>
      <c r="K11" s="8">
        <v>0</v>
      </c>
      <c r="L11" s="8">
        <v>0</v>
      </c>
      <c r="M11" s="5">
        <f t="shared" si="2"/>
        <v>0</v>
      </c>
      <c r="N11" s="5">
        <f t="shared" si="3"/>
        <v>0</v>
      </c>
      <c r="O11" s="5">
        <f t="shared" si="4"/>
        <v>1</v>
      </c>
      <c r="P11" s="5">
        <f t="shared" si="0"/>
        <v>0</v>
      </c>
      <c r="Q11" s="5">
        <f t="shared" si="1"/>
        <v>0</v>
      </c>
    </row>
    <row r="12" spans="1:17">
      <c r="I12" s="4"/>
      <c r="K12" s="8">
        <v>0</v>
      </c>
      <c r="L12" s="8">
        <v>0</v>
      </c>
      <c r="M12" s="5">
        <f t="shared" si="2"/>
        <v>0</v>
      </c>
      <c r="N12" s="5">
        <f t="shared" si="3"/>
        <v>0</v>
      </c>
      <c r="O12" s="5">
        <f t="shared" si="4"/>
        <v>1</v>
      </c>
      <c r="P12" s="5">
        <f t="shared" si="0"/>
        <v>0</v>
      </c>
      <c r="Q12" s="5">
        <f t="shared" si="1"/>
        <v>0</v>
      </c>
    </row>
    <row r="13" spans="1:17">
      <c r="I13" s="4"/>
    </row>
    <row r="14" spans="1:17">
      <c r="G14" s="12"/>
      <c r="I14" s="4"/>
      <c r="K14" s="5">
        <f t="shared" ref="K14" si="5">SUM(K3:K12)</f>
        <v>0</v>
      </c>
      <c r="L14" s="5">
        <f>SUM(L3:L12)</f>
        <v>0</v>
      </c>
      <c r="M14" s="5">
        <f>SUM(M3:M12)</f>
        <v>0</v>
      </c>
      <c r="N14" s="5">
        <f>SUM(N3:N12)</f>
        <v>0</v>
      </c>
      <c r="O14" s="5">
        <f>SUM(O3:O12)</f>
        <v>10</v>
      </c>
      <c r="P14" s="5">
        <f t="shared" ref="P14:Q14" si="6">SUM(P3:P12)</f>
        <v>0</v>
      </c>
      <c r="Q14" s="5">
        <f t="shared" si="6"/>
        <v>0</v>
      </c>
    </row>
    <row r="15" spans="1:17">
      <c r="I15" s="4"/>
    </row>
    <row r="16" spans="1:17">
      <c r="G16" s="12"/>
      <c r="I16" s="4"/>
    </row>
    <row r="17" spans="1:9">
      <c r="I17" s="4"/>
    </row>
    <row r="18" spans="1:9">
      <c r="I18" s="4"/>
    </row>
    <row r="19" spans="1:9">
      <c r="I19" s="4"/>
    </row>
    <row r="20" spans="1:9">
      <c r="I20" s="4"/>
    </row>
    <row r="21" spans="1:9">
      <c r="I21" s="4"/>
    </row>
    <row r="22" spans="1:9">
      <c r="I22" s="4"/>
    </row>
    <row r="23" spans="1:9">
      <c r="H23" s="2"/>
      <c r="I23" s="4"/>
    </row>
    <row r="24" spans="1:9">
      <c r="F24" s="1"/>
      <c r="G24" s="2"/>
      <c r="H24" s="3"/>
    </row>
    <row r="25" spans="1:9">
      <c r="F25" s="1"/>
      <c r="G25" s="2"/>
      <c r="H25" s="3"/>
    </row>
    <row r="26" spans="1:9">
      <c r="F26" s="1"/>
      <c r="G26" s="2"/>
      <c r="H26" s="3"/>
    </row>
    <row r="27" spans="1:9">
      <c r="F27" s="1"/>
      <c r="G27" s="2"/>
      <c r="H27" s="3"/>
    </row>
    <row r="28" spans="1:9">
      <c r="A28" s="2"/>
      <c r="B28" s="2"/>
      <c r="C28" s="2"/>
      <c r="D28" s="2"/>
      <c r="E28" s="2"/>
    </row>
    <row r="29" spans="1:9">
      <c r="A29" s="2"/>
      <c r="B29" s="2"/>
      <c r="C29" s="2"/>
      <c r="D29" s="2"/>
      <c r="E29" s="2"/>
    </row>
    <row r="30" spans="1:9">
      <c r="A30" s="2"/>
      <c r="B30" s="2"/>
      <c r="C30" s="2"/>
      <c r="D30" s="2"/>
      <c r="E30" s="2"/>
    </row>
    <row r="31" spans="1:9">
      <c r="A31" s="2"/>
      <c r="B31" s="2"/>
      <c r="C31" s="2"/>
      <c r="D31" s="2"/>
      <c r="E31" s="2"/>
    </row>
    <row r="32" spans="1:9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D0BD-C6B0-4EDF-9803-E87E3437DC75}">
  <dimension ref="A1:T42"/>
  <sheetViews>
    <sheetView zoomScaleNormal="100" workbookViewId="0">
      <selection activeCell="F16" sqref="F16"/>
    </sheetView>
  </sheetViews>
  <sheetFormatPr defaultRowHeight="15"/>
  <cols>
    <col min="6" max="6" width="9.7109375" customWidth="1"/>
    <col min="7" max="7" width="10.7109375" customWidth="1"/>
  </cols>
  <sheetData>
    <row r="1" spans="1:20">
      <c r="A1" t="s">
        <v>17</v>
      </c>
      <c r="F1" s="2" t="s">
        <v>1</v>
      </c>
      <c r="G1" s="2" t="s">
        <v>2</v>
      </c>
      <c r="I1" s="4"/>
    </row>
    <row r="2" spans="1:20">
      <c r="A2" s="9">
        <f>M14</f>
        <v>0</v>
      </c>
      <c r="B2" s="9">
        <f>N14</f>
        <v>0</v>
      </c>
      <c r="C2" s="9">
        <f>O14</f>
        <v>0</v>
      </c>
      <c r="D2" s="9">
        <f>R14</f>
        <v>0</v>
      </c>
      <c r="E2" s="1" t="s">
        <v>18</v>
      </c>
      <c r="F2" s="5" t="e">
        <f>D12/C12</f>
        <v>#DIV/0!</v>
      </c>
      <c r="G2" s="7" t="e">
        <f>D12/C12</f>
        <v>#DIV/0!</v>
      </c>
      <c r="I2" s="4"/>
      <c r="K2" s="5" t="s">
        <v>4</v>
      </c>
      <c r="L2" s="5" t="s">
        <v>5</v>
      </c>
      <c r="M2" s="5" t="s">
        <v>6</v>
      </c>
      <c r="N2" s="5" t="s">
        <v>7</v>
      </c>
      <c r="O2" s="5" t="s">
        <v>19</v>
      </c>
      <c r="P2" s="5" t="s">
        <v>20</v>
      </c>
      <c r="Q2" s="5" t="s">
        <v>21</v>
      </c>
      <c r="R2" s="5" t="s">
        <v>9</v>
      </c>
      <c r="S2" s="5" t="s">
        <v>10</v>
      </c>
      <c r="T2" s="5" t="s">
        <v>22</v>
      </c>
    </row>
    <row r="3" spans="1:20">
      <c r="A3" s="9">
        <f>N14</f>
        <v>0</v>
      </c>
      <c r="B3" s="9">
        <f>O14</f>
        <v>0</v>
      </c>
      <c r="C3" s="9">
        <f>P14</f>
        <v>0</v>
      </c>
      <c r="D3" s="9">
        <f>S14</f>
        <v>0</v>
      </c>
      <c r="E3" s="1" t="s">
        <v>3</v>
      </c>
      <c r="F3" s="5" t="e">
        <f>(D11-C11*F2)/B11</f>
        <v>#DIV/0!</v>
      </c>
      <c r="G3" s="7" t="e">
        <f>(D11-C11*F2)/B11</f>
        <v>#DIV/0!</v>
      </c>
      <c r="I3" s="4"/>
      <c r="K3" s="8">
        <v>0</v>
      </c>
      <c r="L3" s="8">
        <v>0</v>
      </c>
      <c r="M3" s="5">
        <f>K3^4</f>
        <v>0</v>
      </c>
      <c r="N3" s="5">
        <f>K3^3</f>
        <v>0</v>
      </c>
      <c r="O3" s="5">
        <f>K3^2</f>
        <v>0</v>
      </c>
      <c r="P3" s="5">
        <f>K3</f>
        <v>0</v>
      </c>
      <c r="Q3" s="5">
        <f>1^2</f>
        <v>1</v>
      </c>
      <c r="R3" s="5">
        <f>(K3^2)*L3</f>
        <v>0</v>
      </c>
      <c r="S3" s="5">
        <f>K3*L3</f>
        <v>0</v>
      </c>
      <c r="T3" s="5">
        <f>L3</f>
        <v>0</v>
      </c>
    </row>
    <row r="4" spans="1:20">
      <c r="A4" s="9">
        <f>O14</f>
        <v>0</v>
      </c>
      <c r="B4" s="9">
        <f>P14</f>
        <v>0</v>
      </c>
      <c r="C4" s="9">
        <f>Q14</f>
        <v>10</v>
      </c>
      <c r="D4" s="9">
        <f>T14</f>
        <v>0</v>
      </c>
      <c r="E4" s="1" t="s">
        <v>11</v>
      </c>
      <c r="F4" s="5" t="e">
        <f>(D10-C10*F2-B10*F3)/A10</f>
        <v>#DIV/0!</v>
      </c>
      <c r="G4" s="7" t="e">
        <f>(D10-C10*F2-B10*F3)/A10</f>
        <v>#DIV/0!</v>
      </c>
      <c r="I4" s="4"/>
      <c r="K4" s="8">
        <v>0</v>
      </c>
      <c r="L4" s="8">
        <v>0</v>
      </c>
      <c r="M4" s="5">
        <f t="shared" ref="M4:M12" si="0">K4^4</f>
        <v>0</v>
      </c>
      <c r="N4" s="5">
        <f t="shared" ref="N4:N12" si="1">K4^3</f>
        <v>0</v>
      </c>
      <c r="O4" s="5">
        <f t="shared" ref="O4:O12" si="2">K4^2</f>
        <v>0</v>
      </c>
      <c r="P4" s="5">
        <f t="shared" ref="P4:P12" si="3">K4</f>
        <v>0</v>
      </c>
      <c r="Q4" s="5">
        <f t="shared" ref="Q4:Q12" si="4">1^2</f>
        <v>1</v>
      </c>
      <c r="R4" s="5">
        <f t="shared" ref="R4:R11" si="5">(K4^2)*L4</f>
        <v>0</v>
      </c>
      <c r="S4" s="5">
        <f t="shared" ref="S4:S12" si="6">K4*L4</f>
        <v>0</v>
      </c>
      <c r="T4" s="5">
        <f t="shared" ref="T4:T12" si="7">L4</f>
        <v>0</v>
      </c>
    </row>
    <row r="5" spans="1:20">
      <c r="I5" s="4"/>
      <c r="K5" s="8">
        <v>0</v>
      </c>
      <c r="L5" s="8">
        <v>0</v>
      </c>
      <c r="M5" s="5">
        <f t="shared" si="0"/>
        <v>0</v>
      </c>
      <c r="N5" s="5">
        <f t="shared" si="1"/>
        <v>0</v>
      </c>
      <c r="O5" s="5">
        <f t="shared" si="2"/>
        <v>0</v>
      </c>
      <c r="P5" s="5">
        <f t="shared" si="3"/>
        <v>0</v>
      </c>
      <c r="Q5" s="5">
        <f t="shared" si="4"/>
        <v>1</v>
      </c>
      <c r="R5" s="5">
        <f t="shared" si="5"/>
        <v>0</v>
      </c>
      <c r="S5" s="5">
        <f t="shared" si="6"/>
        <v>0</v>
      </c>
      <c r="T5" s="5">
        <f t="shared" si="7"/>
        <v>0</v>
      </c>
    </row>
    <row r="6" spans="1:20">
      <c r="A6" s="5">
        <f>A2</f>
        <v>0</v>
      </c>
      <c r="B6" s="5">
        <f>B2</f>
        <v>0</v>
      </c>
      <c r="C6" s="5">
        <f>C2</f>
        <v>0</v>
      </c>
      <c r="D6" s="5">
        <f>D2</f>
        <v>0</v>
      </c>
      <c r="F6" s="1" t="s">
        <v>12</v>
      </c>
      <c r="G6" s="5" t="e">
        <f>PEARSON(K3:K12,L3:L12)</f>
        <v>#DIV/0!</v>
      </c>
      <c r="I6" s="4"/>
      <c r="K6" s="8">
        <v>0</v>
      </c>
      <c r="L6" s="8">
        <v>0</v>
      </c>
      <c r="M6" s="5">
        <f t="shared" si="0"/>
        <v>0</v>
      </c>
      <c r="N6" s="5">
        <f t="shared" si="1"/>
        <v>0</v>
      </c>
      <c r="O6" s="5">
        <f t="shared" si="2"/>
        <v>0</v>
      </c>
      <c r="P6" s="5">
        <f t="shared" si="3"/>
        <v>0</v>
      </c>
      <c r="Q6" s="5">
        <f t="shared" si="4"/>
        <v>1</v>
      </c>
      <c r="R6" s="5">
        <f t="shared" si="5"/>
        <v>0</v>
      </c>
      <c r="S6" s="5">
        <f t="shared" si="6"/>
        <v>0</v>
      </c>
      <c r="T6" s="5">
        <f t="shared" si="7"/>
        <v>0</v>
      </c>
    </row>
    <row r="7" spans="1:20">
      <c r="A7" s="5">
        <f>-A3*A2+A2*A3</f>
        <v>0</v>
      </c>
      <c r="B7" s="5">
        <f>-A3*B2+A2*B3</f>
        <v>0</v>
      </c>
      <c r="C7" s="5">
        <f>-A3*C2+A2*C3</f>
        <v>0</v>
      </c>
      <c r="D7" s="5">
        <f>-A3*D2+A2*D3</f>
        <v>0</v>
      </c>
      <c r="F7" s="1" t="s">
        <v>13</v>
      </c>
      <c r="G7" s="5">
        <f>SUM(K3:K12)/10</f>
        <v>0</v>
      </c>
      <c r="I7" s="4"/>
      <c r="K7" s="8">
        <v>0</v>
      </c>
      <c r="L7" s="8">
        <v>0</v>
      </c>
      <c r="M7" s="5">
        <f t="shared" si="0"/>
        <v>0</v>
      </c>
      <c r="N7" s="5">
        <f t="shared" si="1"/>
        <v>0</v>
      </c>
      <c r="O7" s="5">
        <f t="shared" si="2"/>
        <v>0</v>
      </c>
      <c r="P7" s="5">
        <f t="shared" si="3"/>
        <v>0</v>
      </c>
      <c r="Q7" s="5">
        <f t="shared" si="4"/>
        <v>1</v>
      </c>
      <c r="R7" s="5">
        <f t="shared" si="5"/>
        <v>0</v>
      </c>
      <c r="S7" s="5">
        <f t="shared" si="6"/>
        <v>0</v>
      </c>
      <c r="T7" s="5">
        <f t="shared" si="7"/>
        <v>0</v>
      </c>
    </row>
    <row r="8" spans="1:20">
      <c r="A8" s="5">
        <f>-A4*A2+A2*A4</f>
        <v>0</v>
      </c>
      <c r="B8" s="5">
        <f>-A4*B2+A2*B4</f>
        <v>0</v>
      </c>
      <c r="C8" s="5">
        <f>-A4*C2+A2*C4</f>
        <v>0</v>
      </c>
      <c r="D8" s="5">
        <f>-A4*D2+A2*D4</f>
        <v>0</v>
      </c>
      <c r="F8" s="1" t="s">
        <v>14</v>
      </c>
      <c r="G8" s="5">
        <f>SUM(L3:L12)/10</f>
        <v>0</v>
      </c>
      <c r="I8" s="4"/>
      <c r="K8" s="8">
        <v>0</v>
      </c>
      <c r="L8" s="8">
        <v>0</v>
      </c>
      <c r="M8" s="5">
        <f t="shared" si="0"/>
        <v>0</v>
      </c>
      <c r="N8" s="5">
        <f t="shared" si="1"/>
        <v>0</v>
      </c>
      <c r="O8" s="5">
        <f t="shared" si="2"/>
        <v>0</v>
      </c>
      <c r="P8" s="5">
        <f t="shared" si="3"/>
        <v>0</v>
      </c>
      <c r="Q8" s="5">
        <f t="shared" si="4"/>
        <v>1</v>
      </c>
      <c r="R8" s="5">
        <f t="shared" si="5"/>
        <v>0</v>
      </c>
      <c r="S8" s="5">
        <f t="shared" si="6"/>
        <v>0</v>
      </c>
      <c r="T8" s="5">
        <f t="shared" si="7"/>
        <v>0</v>
      </c>
    </row>
    <row r="9" spans="1:20">
      <c r="A9" s="2"/>
      <c r="B9" s="2"/>
      <c r="C9" s="2"/>
      <c r="D9" s="2"/>
      <c r="I9" s="4"/>
      <c r="K9" s="8">
        <v>0</v>
      </c>
      <c r="L9" s="8">
        <v>0</v>
      </c>
      <c r="M9" s="5">
        <f t="shared" si="0"/>
        <v>0</v>
      </c>
      <c r="N9" s="5">
        <f t="shared" si="1"/>
        <v>0</v>
      </c>
      <c r="O9" s="5">
        <f t="shared" si="2"/>
        <v>0</v>
      </c>
      <c r="P9" s="5">
        <f t="shared" si="3"/>
        <v>0</v>
      </c>
      <c r="Q9" s="5">
        <f t="shared" si="4"/>
        <v>1</v>
      </c>
      <c r="R9" s="5">
        <f t="shared" si="5"/>
        <v>0</v>
      </c>
      <c r="S9" s="5">
        <f t="shared" si="6"/>
        <v>0</v>
      </c>
      <c r="T9" s="5">
        <f t="shared" si="7"/>
        <v>0</v>
      </c>
    </row>
    <row r="10" spans="1:20">
      <c r="A10" s="5">
        <f t="shared" ref="A10:D11" si="8">A6</f>
        <v>0</v>
      </c>
      <c r="B10" s="5">
        <f t="shared" si="8"/>
        <v>0</v>
      </c>
      <c r="C10" s="5">
        <f t="shared" si="8"/>
        <v>0</v>
      </c>
      <c r="D10" s="5">
        <f t="shared" si="8"/>
        <v>0</v>
      </c>
      <c r="F10" s="1" t="s">
        <v>15</v>
      </c>
      <c r="G10" s="13" t="s">
        <v>23</v>
      </c>
      <c r="I10" s="4"/>
      <c r="K10" s="8">
        <v>0</v>
      </c>
      <c r="L10" s="8">
        <v>0</v>
      </c>
      <c r="M10" s="5">
        <f t="shared" si="0"/>
        <v>0</v>
      </c>
      <c r="N10" s="5">
        <f t="shared" si="1"/>
        <v>0</v>
      </c>
      <c r="O10" s="5">
        <f t="shared" si="2"/>
        <v>0</v>
      </c>
      <c r="P10" s="5">
        <f t="shared" si="3"/>
        <v>0</v>
      </c>
      <c r="Q10" s="5">
        <f t="shared" si="4"/>
        <v>1</v>
      </c>
      <c r="R10" s="5">
        <f t="shared" si="5"/>
        <v>0</v>
      </c>
      <c r="S10" s="5">
        <f t="shared" si="6"/>
        <v>0</v>
      </c>
      <c r="T10" s="5">
        <f t="shared" si="7"/>
        <v>0</v>
      </c>
    </row>
    <row r="11" spans="1:20">
      <c r="A11" s="5">
        <f t="shared" si="8"/>
        <v>0</v>
      </c>
      <c r="B11" s="5">
        <f t="shared" si="8"/>
        <v>0</v>
      </c>
      <c r="C11" s="5">
        <f>C7</f>
        <v>0</v>
      </c>
      <c r="D11" s="5">
        <f t="shared" si="8"/>
        <v>0</v>
      </c>
      <c r="I11" s="4"/>
      <c r="K11" s="8">
        <v>0</v>
      </c>
      <c r="L11" s="8">
        <v>0</v>
      </c>
      <c r="M11" s="5">
        <f t="shared" si="0"/>
        <v>0</v>
      </c>
      <c r="N11" s="5">
        <f t="shared" si="1"/>
        <v>0</v>
      </c>
      <c r="O11" s="5">
        <f t="shared" si="2"/>
        <v>0</v>
      </c>
      <c r="P11" s="5">
        <f t="shared" si="3"/>
        <v>0</v>
      </c>
      <c r="Q11" s="5">
        <f t="shared" si="4"/>
        <v>1</v>
      </c>
      <c r="R11" s="5">
        <f t="shared" si="5"/>
        <v>0</v>
      </c>
      <c r="S11" s="5">
        <f t="shared" si="6"/>
        <v>0</v>
      </c>
      <c r="T11" s="5">
        <f t="shared" si="7"/>
        <v>0</v>
      </c>
    </row>
    <row r="12" spans="1:20">
      <c r="A12" s="5">
        <f>A8</f>
        <v>0</v>
      </c>
      <c r="B12" s="5">
        <f>-B8*B7+B7*B8</f>
        <v>0</v>
      </c>
      <c r="C12" s="5">
        <f>-B8*C7+B7*C8</f>
        <v>0</v>
      </c>
      <c r="D12" s="5">
        <f>-B8*D7+B7*D8</f>
        <v>0</v>
      </c>
      <c r="I12" s="4"/>
      <c r="K12" s="8">
        <v>0</v>
      </c>
      <c r="L12" s="8">
        <v>0</v>
      </c>
      <c r="M12" s="5">
        <f t="shared" si="0"/>
        <v>0</v>
      </c>
      <c r="N12" s="5">
        <f t="shared" si="1"/>
        <v>0</v>
      </c>
      <c r="O12" s="5">
        <f t="shared" si="2"/>
        <v>0</v>
      </c>
      <c r="P12" s="5">
        <f t="shared" si="3"/>
        <v>0</v>
      </c>
      <c r="Q12" s="5">
        <f t="shared" si="4"/>
        <v>1</v>
      </c>
      <c r="R12" s="5">
        <f t="shared" ref="R12" si="9">(K12^2)*L12</f>
        <v>0</v>
      </c>
      <c r="S12" s="5">
        <f t="shared" si="6"/>
        <v>0</v>
      </c>
      <c r="T12" s="5">
        <f t="shared" si="7"/>
        <v>0</v>
      </c>
    </row>
    <row r="13" spans="1:20">
      <c r="I13" s="4"/>
    </row>
    <row r="14" spans="1:20">
      <c r="I14" s="4"/>
      <c r="K14" s="5">
        <f>SUM(K3:K13)</f>
        <v>0</v>
      </c>
      <c r="L14" s="5">
        <f t="shared" ref="L14:Q14" si="10">SUM(L3:L12)</f>
        <v>0</v>
      </c>
      <c r="M14" s="5">
        <f>SUM(M3:M13)</f>
        <v>0</v>
      </c>
      <c r="N14" s="5">
        <f>SUM(N3:N13)</f>
        <v>0</v>
      </c>
      <c r="O14" s="5">
        <f>SUM(O3:O13)</f>
        <v>0</v>
      </c>
      <c r="P14" s="5">
        <f>SUM(P3:P13)</f>
        <v>0</v>
      </c>
      <c r="Q14" s="5">
        <f t="shared" si="10"/>
        <v>10</v>
      </c>
      <c r="R14" s="5">
        <f t="shared" ref="R14:S14" si="11">SUM(R3:R12)</f>
        <v>0</v>
      </c>
      <c r="S14" s="5">
        <f t="shared" si="11"/>
        <v>0</v>
      </c>
      <c r="T14" s="5">
        <f t="shared" ref="T14" si="12">SUM(T3:T12)</f>
        <v>0</v>
      </c>
    </row>
    <row r="15" spans="1:20">
      <c r="I15" s="4"/>
    </row>
    <row r="16" spans="1:20">
      <c r="I16" s="4"/>
    </row>
    <row r="17" spans="1:9">
      <c r="I17" s="4"/>
    </row>
    <row r="18" spans="1:9">
      <c r="I18" s="4"/>
    </row>
    <row r="19" spans="1:9">
      <c r="I19" s="4"/>
    </row>
    <row r="20" spans="1:9">
      <c r="I20" s="4"/>
    </row>
    <row r="21" spans="1:9">
      <c r="I21" s="4"/>
    </row>
    <row r="22" spans="1:9">
      <c r="I22" s="4"/>
    </row>
    <row r="23" spans="1:9">
      <c r="G23" s="2"/>
      <c r="I23" s="10"/>
    </row>
    <row r="24" spans="1:9">
      <c r="F24" s="1"/>
      <c r="G24" s="2"/>
      <c r="H24" s="3"/>
    </row>
    <row r="25" spans="1:9">
      <c r="F25" s="1"/>
      <c r="G25" s="2"/>
      <c r="H25" s="3"/>
    </row>
    <row r="26" spans="1:9">
      <c r="F26" s="1"/>
      <c r="G26" s="2"/>
      <c r="H26" s="3"/>
    </row>
    <row r="27" spans="1:9">
      <c r="F27" s="1"/>
      <c r="G27" s="2"/>
      <c r="H27" s="3"/>
    </row>
    <row r="28" spans="1:9">
      <c r="A28" s="2"/>
      <c r="B28" s="2"/>
      <c r="C28" s="2"/>
      <c r="D28" s="2"/>
      <c r="E28" s="2"/>
    </row>
    <row r="29" spans="1:9">
      <c r="A29" s="2"/>
      <c r="B29" s="2"/>
      <c r="C29" s="2"/>
      <c r="D29" s="2"/>
      <c r="E29" s="2"/>
    </row>
    <row r="30" spans="1:9">
      <c r="A30" s="2"/>
      <c r="B30" s="2"/>
      <c r="C30" s="2"/>
      <c r="D30" s="2"/>
      <c r="E30" s="2"/>
    </row>
    <row r="31" spans="1:9">
      <c r="A31" s="2"/>
      <c r="B31" s="2"/>
      <c r="C31" s="2"/>
      <c r="D31" s="2"/>
      <c r="E31" s="2"/>
    </row>
    <row r="32" spans="1:9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927E-DD77-4A13-B8E2-E1707D8BFFD1}">
  <dimension ref="A1:Z23"/>
  <sheetViews>
    <sheetView tabSelected="1" zoomScaleNormal="100" workbookViewId="0">
      <selection activeCell="D4" sqref="D4"/>
    </sheetView>
  </sheetViews>
  <sheetFormatPr defaultRowHeight="15"/>
  <cols>
    <col min="7" max="7" width="13.42578125" customWidth="1"/>
    <col min="8" max="8" width="15.7109375" customWidth="1"/>
    <col min="9" max="10" width="11" customWidth="1"/>
    <col min="11" max="11" width="10.28515625" customWidth="1"/>
  </cols>
  <sheetData>
    <row r="1" spans="1:26">
      <c r="A1" t="s">
        <v>24</v>
      </c>
      <c r="G1" s="2" t="s">
        <v>1</v>
      </c>
      <c r="H1" s="2" t="s">
        <v>2</v>
      </c>
      <c r="L1" s="4"/>
    </row>
    <row r="2" spans="1:26">
      <c r="A2" s="6">
        <f>P14</f>
        <v>994093</v>
      </c>
      <c r="B2" s="5">
        <f>Q14</f>
        <v>123981</v>
      </c>
      <c r="C2" s="5">
        <f>R14</f>
        <v>15973</v>
      </c>
      <c r="D2" s="5">
        <f>S14</f>
        <v>2157</v>
      </c>
      <c r="E2" s="5">
        <f>W14</f>
        <v>17430</v>
      </c>
      <c r="F2" s="1" t="s">
        <v>25</v>
      </c>
      <c r="G2" s="5">
        <f>E20/D20</f>
        <v>-33.909998124960893</v>
      </c>
      <c r="H2" s="11">
        <f>G2</f>
        <v>-33.909998124960893</v>
      </c>
      <c r="L2" s="4"/>
      <c r="N2" s="5" t="s">
        <v>4</v>
      </c>
      <c r="O2" s="5" t="s">
        <v>5</v>
      </c>
      <c r="P2" s="5" t="s">
        <v>6</v>
      </c>
      <c r="Q2" s="5" t="s">
        <v>7</v>
      </c>
      <c r="R2" s="5" t="s">
        <v>19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9</v>
      </c>
      <c r="X2" s="5" t="s">
        <v>10</v>
      </c>
      <c r="Y2" s="5" t="s">
        <v>22</v>
      </c>
      <c r="Z2" s="5" t="s">
        <v>30</v>
      </c>
    </row>
    <row r="3" spans="1:26">
      <c r="A3" s="6">
        <f>Q14</f>
        <v>123981</v>
      </c>
      <c r="B3" s="5">
        <f>R14</f>
        <v>15973</v>
      </c>
      <c r="C3" s="5">
        <f>S14</f>
        <v>2157</v>
      </c>
      <c r="D3" s="5">
        <f>T14</f>
        <v>313</v>
      </c>
      <c r="E3" s="5">
        <f>X14</f>
        <v>2426</v>
      </c>
      <c r="F3" s="1" t="s">
        <v>18</v>
      </c>
      <c r="G3" s="5">
        <f>(E19-D19*G2)/C19</f>
        <v>26.87941762675608</v>
      </c>
      <c r="H3" s="11">
        <f t="shared" ref="H3:H5" si="0">G3</f>
        <v>26.87941762675608</v>
      </c>
      <c r="L3" s="4"/>
      <c r="N3" s="8">
        <v>2</v>
      </c>
      <c r="O3" s="8">
        <v>1</v>
      </c>
      <c r="P3" s="5">
        <f>N3^6</f>
        <v>64</v>
      </c>
      <c r="Q3" s="5">
        <f>N3^5</f>
        <v>32</v>
      </c>
      <c r="R3" s="5">
        <f>N3^4</f>
        <v>16</v>
      </c>
      <c r="S3" s="5">
        <f>N3^3</f>
        <v>8</v>
      </c>
      <c r="T3" s="5">
        <f>N3^2</f>
        <v>4</v>
      </c>
      <c r="U3" s="5">
        <f>N3</f>
        <v>2</v>
      </c>
      <c r="V3" s="5">
        <f>1^2</f>
        <v>1</v>
      </c>
      <c r="W3" s="5">
        <f>(N3^3)*O3</f>
        <v>8</v>
      </c>
      <c r="X3" s="5">
        <f>(N3^2)*O3</f>
        <v>4</v>
      </c>
      <c r="Y3" s="5">
        <f>N3*O3</f>
        <v>2</v>
      </c>
      <c r="Z3" s="5">
        <f>O3</f>
        <v>1</v>
      </c>
    </row>
    <row r="4" spans="1:26">
      <c r="A4" s="5">
        <f>R14</f>
        <v>15973</v>
      </c>
      <c r="B4" s="5">
        <f>S14</f>
        <v>2157</v>
      </c>
      <c r="C4" s="5">
        <f>T14</f>
        <v>313</v>
      </c>
      <c r="D4" s="5">
        <f>U14</f>
        <v>51</v>
      </c>
      <c r="E4" s="5">
        <f>Y14</f>
        <v>372</v>
      </c>
      <c r="F4" s="1" t="s">
        <v>3</v>
      </c>
      <c r="G4" s="5">
        <f>(E18-D18*G2-C18*G3)/B18</f>
        <v>-5.2673597366611746</v>
      </c>
      <c r="H4" s="11">
        <f t="shared" si="0"/>
        <v>-5.2673597366611746</v>
      </c>
      <c r="L4" s="4"/>
      <c r="N4" s="8">
        <v>5</v>
      </c>
      <c r="O4" s="8">
        <v>8</v>
      </c>
      <c r="P4" s="5">
        <f t="shared" ref="P4:P12" si="1">N4^6</f>
        <v>15625</v>
      </c>
      <c r="Q4" s="5">
        <f t="shared" ref="Q4:Q12" si="2">N4^5</f>
        <v>3125</v>
      </c>
      <c r="R4" s="5">
        <f t="shared" ref="R4:R12" si="3">N4^4</f>
        <v>625</v>
      </c>
      <c r="S4" s="5">
        <f t="shared" ref="S4:S12" si="4">N4^3</f>
        <v>125</v>
      </c>
      <c r="T4" s="5">
        <f t="shared" ref="T4:T12" si="5">N4^2</f>
        <v>25</v>
      </c>
      <c r="U4" s="5">
        <f t="shared" ref="U4:U12" si="6">N4</f>
        <v>5</v>
      </c>
      <c r="V4" s="5">
        <f t="shared" ref="V4:V12" si="7">1^2</f>
        <v>1</v>
      </c>
      <c r="W4" s="5">
        <f t="shared" ref="W4:W12" si="8">(N4^3)*O4</f>
        <v>1000</v>
      </c>
      <c r="X4" s="5">
        <f t="shared" ref="X4:X12" si="9">(N4^2)*O4</f>
        <v>200</v>
      </c>
      <c r="Y4" s="5">
        <f t="shared" ref="Y4:Y12" si="10">N4*O4</f>
        <v>40</v>
      </c>
      <c r="Z4" s="5">
        <f t="shared" ref="Z4:Z12" si="11">O4</f>
        <v>8</v>
      </c>
    </row>
    <row r="5" spans="1:26">
      <c r="A5" s="6">
        <f>S14</f>
        <v>2157</v>
      </c>
      <c r="B5" s="5">
        <f>T14</f>
        <v>313</v>
      </c>
      <c r="C5" s="5">
        <f>U14</f>
        <v>51</v>
      </c>
      <c r="D5" s="5">
        <f>V14</f>
        <v>10</v>
      </c>
      <c r="E5" s="5">
        <f>Z14</f>
        <v>65</v>
      </c>
      <c r="F5" s="1" t="s">
        <v>11</v>
      </c>
      <c r="G5" s="5">
        <f>(E17-D17*G2-C17*G3-B17*G4)/A17</f>
        <v>0.31614894754751804</v>
      </c>
      <c r="H5" s="11">
        <f t="shared" si="0"/>
        <v>0.31614894754751804</v>
      </c>
      <c r="L5" s="4"/>
      <c r="N5" s="8">
        <v>6</v>
      </c>
      <c r="O5" s="8">
        <v>4</v>
      </c>
      <c r="P5" s="5">
        <f t="shared" si="1"/>
        <v>46656</v>
      </c>
      <c r="Q5" s="5">
        <f t="shared" si="2"/>
        <v>7776</v>
      </c>
      <c r="R5" s="5">
        <f t="shared" si="3"/>
        <v>1296</v>
      </c>
      <c r="S5" s="5">
        <f t="shared" si="4"/>
        <v>216</v>
      </c>
      <c r="T5" s="5">
        <f t="shared" si="5"/>
        <v>36</v>
      </c>
      <c r="U5" s="5">
        <f t="shared" si="6"/>
        <v>6</v>
      </c>
      <c r="V5" s="5">
        <f t="shared" si="7"/>
        <v>1</v>
      </c>
      <c r="W5" s="5">
        <f t="shared" si="8"/>
        <v>864</v>
      </c>
      <c r="X5" s="5">
        <f t="shared" si="9"/>
        <v>144</v>
      </c>
      <c r="Y5" s="5">
        <f t="shared" si="10"/>
        <v>24</v>
      </c>
      <c r="Z5" s="5">
        <f t="shared" si="11"/>
        <v>4</v>
      </c>
    </row>
    <row r="6" spans="1:26">
      <c r="A6" s="2"/>
      <c r="B6" s="2"/>
      <c r="C6" s="2"/>
      <c r="D6" s="2"/>
      <c r="E6" s="2"/>
      <c r="L6" s="4"/>
      <c r="N6" s="8">
        <v>7</v>
      </c>
      <c r="O6" s="8">
        <v>4</v>
      </c>
      <c r="P6" s="5">
        <f t="shared" si="1"/>
        <v>117649</v>
      </c>
      <c r="Q6" s="5">
        <f t="shared" si="2"/>
        <v>16807</v>
      </c>
      <c r="R6" s="5">
        <f t="shared" si="3"/>
        <v>2401</v>
      </c>
      <c r="S6" s="5">
        <f t="shared" si="4"/>
        <v>343</v>
      </c>
      <c r="T6" s="5">
        <f t="shared" si="5"/>
        <v>49</v>
      </c>
      <c r="U6" s="5">
        <f t="shared" si="6"/>
        <v>7</v>
      </c>
      <c r="V6" s="5">
        <f t="shared" si="7"/>
        <v>1</v>
      </c>
      <c r="W6" s="5">
        <f t="shared" si="8"/>
        <v>1372</v>
      </c>
      <c r="X6" s="5">
        <f t="shared" si="9"/>
        <v>196</v>
      </c>
      <c r="Y6" s="5">
        <f t="shared" si="10"/>
        <v>28</v>
      </c>
      <c r="Z6" s="5">
        <f t="shared" si="11"/>
        <v>4</v>
      </c>
    </row>
    <row r="7" spans="1:26">
      <c r="A7" s="5">
        <f>A2</f>
        <v>994093</v>
      </c>
      <c r="B7" s="5">
        <f>B2</f>
        <v>123981</v>
      </c>
      <c r="C7" s="5">
        <f>C2</f>
        <v>15973</v>
      </c>
      <c r="D7" s="5">
        <f>D2</f>
        <v>2157</v>
      </c>
      <c r="E7" s="5">
        <f>E2</f>
        <v>17430</v>
      </c>
      <c r="G7" s="1" t="s">
        <v>12</v>
      </c>
      <c r="H7" s="5">
        <f>PEARSON(N3:N12,O3:O12)</f>
        <v>0.49904822067908705</v>
      </c>
      <c r="L7" s="4"/>
      <c r="N7" s="8">
        <v>3</v>
      </c>
      <c r="O7" s="8">
        <v>6</v>
      </c>
      <c r="P7" s="5">
        <f t="shared" si="1"/>
        <v>729</v>
      </c>
      <c r="Q7" s="5">
        <f t="shared" si="2"/>
        <v>243</v>
      </c>
      <c r="R7" s="5">
        <f t="shared" si="3"/>
        <v>81</v>
      </c>
      <c r="S7" s="5">
        <f t="shared" si="4"/>
        <v>27</v>
      </c>
      <c r="T7" s="5">
        <f t="shared" si="5"/>
        <v>9</v>
      </c>
      <c r="U7" s="5">
        <f t="shared" si="6"/>
        <v>3</v>
      </c>
      <c r="V7" s="5">
        <f t="shared" si="7"/>
        <v>1</v>
      </c>
      <c r="W7" s="5">
        <f t="shared" si="8"/>
        <v>162</v>
      </c>
      <c r="X7" s="5">
        <f t="shared" si="9"/>
        <v>54</v>
      </c>
      <c r="Y7" s="5">
        <f t="shared" si="10"/>
        <v>18</v>
      </c>
      <c r="Z7" s="5">
        <f t="shared" si="11"/>
        <v>6</v>
      </c>
    </row>
    <row r="8" spans="1:26">
      <c r="A8" s="5">
        <f>-A3*A2+A2*A3</f>
        <v>0</v>
      </c>
      <c r="B8" s="5">
        <f>-A3*B2+A2*B3</f>
        <v>507359128</v>
      </c>
      <c r="C8" s="5">
        <f>-A3*C2+A2*C3</f>
        <v>163910088</v>
      </c>
      <c r="D8" s="5">
        <f>-A3*D2+A2*D3</f>
        <v>43724092</v>
      </c>
      <c r="E8" s="5">
        <f>-A3*E2+A2*E3</f>
        <v>250680788</v>
      </c>
      <c r="G8" s="1" t="s">
        <v>13</v>
      </c>
      <c r="H8" s="5">
        <f>SUM(N3:N12)/10</f>
        <v>5.0999999999999996</v>
      </c>
      <c r="L8" s="4"/>
      <c r="N8" s="8">
        <v>2</v>
      </c>
      <c r="O8" s="8">
        <v>2</v>
      </c>
      <c r="P8" s="5">
        <f t="shared" si="1"/>
        <v>64</v>
      </c>
      <c r="Q8" s="5">
        <f t="shared" si="2"/>
        <v>32</v>
      </c>
      <c r="R8" s="5">
        <f t="shared" si="3"/>
        <v>16</v>
      </c>
      <c r="S8" s="5">
        <f>N8^3</f>
        <v>8</v>
      </c>
      <c r="T8" s="5">
        <f t="shared" si="5"/>
        <v>4</v>
      </c>
      <c r="U8" s="5">
        <f t="shared" si="6"/>
        <v>2</v>
      </c>
      <c r="V8" s="5">
        <f t="shared" si="7"/>
        <v>1</v>
      </c>
      <c r="W8" s="5">
        <f t="shared" si="8"/>
        <v>16</v>
      </c>
      <c r="X8" s="5">
        <f t="shared" si="9"/>
        <v>8</v>
      </c>
      <c r="Y8" s="5">
        <f t="shared" si="10"/>
        <v>4</v>
      </c>
      <c r="Z8" s="5">
        <f t="shared" si="11"/>
        <v>2</v>
      </c>
    </row>
    <row r="9" spans="1:26">
      <c r="A9" s="5">
        <f>-A4*A2+A2*A4</f>
        <v>0</v>
      </c>
      <c r="B9" s="5">
        <f>-A4*B2+A2*B4</f>
        <v>163910088</v>
      </c>
      <c r="C9" s="5">
        <f>-A4*C2+A2*C4</f>
        <v>56014380</v>
      </c>
      <c r="D9" s="5">
        <f>-A4*D2+A2*D4</f>
        <v>16244982</v>
      </c>
      <c r="E9" s="5">
        <f>-A4*E2+A2*E4</f>
        <v>91393206</v>
      </c>
      <c r="G9" s="1" t="s">
        <v>14</v>
      </c>
      <c r="H9" s="5">
        <f>SUM(O3:O12)/10</f>
        <v>6.5</v>
      </c>
      <c r="L9" s="4"/>
      <c r="N9" s="8">
        <v>9</v>
      </c>
      <c r="O9" s="8">
        <v>11</v>
      </c>
      <c r="P9" s="5">
        <f t="shared" si="1"/>
        <v>531441</v>
      </c>
      <c r="Q9" s="5">
        <f t="shared" si="2"/>
        <v>59049</v>
      </c>
      <c r="R9" s="5">
        <f t="shared" si="3"/>
        <v>6561</v>
      </c>
      <c r="S9" s="5">
        <f t="shared" si="4"/>
        <v>729</v>
      </c>
      <c r="T9" s="5">
        <f t="shared" si="5"/>
        <v>81</v>
      </c>
      <c r="U9" s="5">
        <f t="shared" si="6"/>
        <v>9</v>
      </c>
      <c r="V9" s="5">
        <f t="shared" si="7"/>
        <v>1</v>
      </c>
      <c r="W9" s="5">
        <f t="shared" si="8"/>
        <v>8019</v>
      </c>
      <c r="X9" s="5">
        <f t="shared" si="9"/>
        <v>891</v>
      </c>
      <c r="Y9" s="5">
        <f t="shared" si="10"/>
        <v>99</v>
      </c>
      <c r="Z9" s="5">
        <f t="shared" si="11"/>
        <v>11</v>
      </c>
    </row>
    <row r="10" spans="1:26">
      <c r="A10" s="5">
        <f>-A5*A2+A2*A5</f>
        <v>0</v>
      </c>
      <c r="B10" s="5">
        <f>-A5*B2+A2*B5</f>
        <v>43724092</v>
      </c>
      <c r="C10" s="5">
        <f>-A5*C2+A2*C5</f>
        <v>16244982</v>
      </c>
      <c r="D10" s="5">
        <f>-A5*D2+A2*D5</f>
        <v>5288281</v>
      </c>
      <c r="E10" s="5">
        <f>-A5*E2+A2*E5</f>
        <v>27019535</v>
      </c>
      <c r="J10" s="2"/>
      <c r="K10" s="2"/>
      <c r="L10" s="4"/>
      <c r="N10" s="8">
        <v>4</v>
      </c>
      <c r="O10" s="8">
        <v>12</v>
      </c>
      <c r="P10" s="5">
        <f t="shared" si="1"/>
        <v>4096</v>
      </c>
      <c r="Q10" s="5">
        <f t="shared" si="2"/>
        <v>1024</v>
      </c>
      <c r="R10" s="5">
        <f t="shared" si="3"/>
        <v>256</v>
      </c>
      <c r="S10" s="5">
        <f t="shared" si="4"/>
        <v>64</v>
      </c>
      <c r="T10" s="5">
        <f t="shared" si="5"/>
        <v>16</v>
      </c>
      <c r="U10" s="5">
        <f t="shared" si="6"/>
        <v>4</v>
      </c>
      <c r="V10" s="5">
        <f t="shared" si="7"/>
        <v>1</v>
      </c>
      <c r="W10" s="5">
        <f t="shared" si="8"/>
        <v>768</v>
      </c>
      <c r="X10" s="5">
        <f t="shared" si="9"/>
        <v>192</v>
      </c>
      <c r="Y10" s="5">
        <f t="shared" si="10"/>
        <v>48</v>
      </c>
      <c r="Z10" s="5">
        <f t="shared" si="11"/>
        <v>12</v>
      </c>
    </row>
    <row r="11" spans="1:26">
      <c r="A11" s="2"/>
      <c r="B11" s="2"/>
      <c r="C11" s="2"/>
      <c r="D11" s="2"/>
      <c r="E11" s="2"/>
      <c r="G11" s="1" t="s">
        <v>15</v>
      </c>
      <c r="H11" s="13" t="s">
        <v>31</v>
      </c>
      <c r="L11" s="4"/>
      <c r="N11" s="8">
        <v>5</v>
      </c>
      <c r="O11" s="8">
        <v>9</v>
      </c>
      <c r="P11" s="5">
        <f t="shared" si="1"/>
        <v>15625</v>
      </c>
      <c r="Q11" s="5">
        <f t="shared" si="2"/>
        <v>3125</v>
      </c>
      <c r="R11" s="5">
        <f t="shared" si="3"/>
        <v>625</v>
      </c>
      <c r="S11" s="5">
        <f t="shared" si="4"/>
        <v>125</v>
      </c>
      <c r="T11" s="5">
        <f t="shared" si="5"/>
        <v>25</v>
      </c>
      <c r="U11" s="5">
        <f t="shared" si="6"/>
        <v>5</v>
      </c>
      <c r="V11" s="5">
        <f t="shared" si="7"/>
        <v>1</v>
      </c>
      <c r="W11" s="5">
        <f t="shared" si="8"/>
        <v>1125</v>
      </c>
      <c r="X11" s="5">
        <f t="shared" si="9"/>
        <v>225</v>
      </c>
      <c r="Y11" s="5">
        <f t="shared" si="10"/>
        <v>45</v>
      </c>
      <c r="Z11" s="5">
        <f t="shared" si="11"/>
        <v>9</v>
      </c>
    </row>
    <row r="12" spans="1:26">
      <c r="A12" s="5">
        <f>A7</f>
        <v>994093</v>
      </c>
      <c r="B12" s="5">
        <f>B7</f>
        <v>123981</v>
      </c>
      <c r="C12" s="5">
        <f>C7</f>
        <v>15973</v>
      </c>
      <c r="D12" s="5">
        <f>D7</f>
        <v>2157</v>
      </c>
      <c r="E12" s="5">
        <f>E7</f>
        <v>17430</v>
      </c>
      <c r="L12" s="4"/>
      <c r="N12" s="8">
        <v>8</v>
      </c>
      <c r="O12" s="8">
        <v>8</v>
      </c>
      <c r="P12" s="5">
        <f t="shared" si="1"/>
        <v>262144</v>
      </c>
      <c r="Q12" s="5">
        <f t="shared" si="2"/>
        <v>32768</v>
      </c>
      <c r="R12" s="5">
        <f t="shared" si="3"/>
        <v>4096</v>
      </c>
      <c r="S12" s="5">
        <f t="shared" si="4"/>
        <v>512</v>
      </c>
      <c r="T12" s="5">
        <f t="shared" si="5"/>
        <v>64</v>
      </c>
      <c r="U12" s="5">
        <f t="shared" si="6"/>
        <v>8</v>
      </c>
      <c r="V12" s="5">
        <f t="shared" si="7"/>
        <v>1</v>
      </c>
      <c r="W12" s="5">
        <f>(N12^3)*O12</f>
        <v>4096</v>
      </c>
      <c r="X12" s="5">
        <f>(N12^2)*O12</f>
        <v>512</v>
      </c>
      <c r="Y12" s="5">
        <f t="shared" si="10"/>
        <v>64</v>
      </c>
      <c r="Z12" s="5">
        <f t="shared" si="11"/>
        <v>8</v>
      </c>
    </row>
    <row r="13" spans="1:26">
      <c r="A13" s="5">
        <f>A8</f>
        <v>0</v>
      </c>
      <c r="B13" s="5">
        <f>B8</f>
        <v>507359128</v>
      </c>
      <c r="C13" s="5">
        <f t="shared" ref="C13:E13" si="12">C8</f>
        <v>163910088</v>
      </c>
      <c r="D13" s="5">
        <f t="shared" si="12"/>
        <v>43724092</v>
      </c>
      <c r="E13" s="5">
        <f t="shared" si="12"/>
        <v>250680788</v>
      </c>
      <c r="L13" s="4"/>
    </row>
    <row r="14" spans="1:26">
      <c r="A14" s="5">
        <f>A9</f>
        <v>0</v>
      </c>
      <c r="B14" s="5">
        <f>-B9*B8+B8*B9</f>
        <v>0</v>
      </c>
      <c r="C14" s="5">
        <f>-B9*C8+B8*C9</f>
        <v>1552890044092896</v>
      </c>
      <c r="D14" s="5">
        <f>-B9*D8+B8*D9</f>
        <v>1075220134455600</v>
      </c>
      <c r="E14" s="5">
        <f>-B9*E8+B8*E9</f>
        <v>5280067280295024</v>
      </c>
      <c r="L14" s="4"/>
      <c r="N14" s="5">
        <f>SUM(N3:N13)</f>
        <v>51</v>
      </c>
      <c r="O14" s="5">
        <f>SUM(O3:O12)</f>
        <v>65</v>
      </c>
      <c r="P14" s="5">
        <f>SUM(P3:P13)</f>
        <v>994093</v>
      </c>
      <c r="Q14" s="5">
        <f>SUM(Q3:Q13)</f>
        <v>123981</v>
      </c>
      <c r="R14" s="5">
        <f>SUM(R3:R13)</f>
        <v>15973</v>
      </c>
      <c r="S14" s="5">
        <f>SUM(S3:S12)</f>
        <v>2157</v>
      </c>
      <c r="T14" s="5">
        <f>SUM(T3:T13)</f>
        <v>313</v>
      </c>
      <c r="U14" s="5">
        <f>SUM(U3:U12)</f>
        <v>51</v>
      </c>
      <c r="V14" s="5">
        <f>SUM(V3:V12)</f>
        <v>10</v>
      </c>
      <c r="W14" s="5">
        <f>SUM(W3:W12)</f>
        <v>17430</v>
      </c>
      <c r="X14" s="5">
        <f>SUM(X3:X12)</f>
        <v>2426</v>
      </c>
      <c r="Y14" s="5">
        <f>SUM(Y3:Y12)</f>
        <v>372</v>
      </c>
      <c r="Z14" s="5">
        <f>SUM(Z3:Z12)</f>
        <v>65</v>
      </c>
    </row>
    <row r="15" spans="1:26">
      <c r="A15" s="5">
        <f>A10</f>
        <v>0</v>
      </c>
      <c r="B15" s="5">
        <f>-B10*B8+B8*B10</f>
        <v>0</v>
      </c>
      <c r="C15" s="5">
        <f>-B10*C8+B8*C10</f>
        <v>1075220134455600</v>
      </c>
      <c r="D15" s="5">
        <f>-B10*D8+B8*D10</f>
        <v>771261415554504</v>
      </c>
      <c r="E15" s="5">
        <f>-B10*E8+B8*E10</f>
        <v>2747817879420984</v>
      </c>
      <c r="L15" s="4"/>
    </row>
    <row r="16" spans="1:26">
      <c r="A16" s="2"/>
      <c r="B16" s="2"/>
      <c r="C16" s="2"/>
      <c r="D16" s="2"/>
      <c r="E16" s="2"/>
      <c r="L16" s="4"/>
    </row>
    <row r="17" spans="1:12">
      <c r="A17" s="5">
        <f>A12</f>
        <v>994093</v>
      </c>
      <c r="B17" s="5">
        <f>B12</f>
        <v>123981</v>
      </c>
      <c r="C17" s="5">
        <f>C12</f>
        <v>15973</v>
      </c>
      <c r="D17" s="5">
        <f>D12</f>
        <v>2157</v>
      </c>
      <c r="E17" s="5">
        <f>E12</f>
        <v>17430</v>
      </c>
      <c r="L17" s="4"/>
    </row>
    <row r="18" spans="1:12">
      <c r="A18" s="5">
        <f>A13</f>
        <v>0</v>
      </c>
      <c r="B18" s="5">
        <f t="shared" ref="B18:E19" si="13">B13</f>
        <v>507359128</v>
      </c>
      <c r="C18" s="5">
        <f t="shared" si="13"/>
        <v>163910088</v>
      </c>
      <c r="D18" s="5">
        <f t="shared" si="13"/>
        <v>43724092</v>
      </c>
      <c r="E18" s="5">
        <f t="shared" si="13"/>
        <v>250680788</v>
      </c>
      <c r="L18" s="4"/>
    </row>
    <row r="19" spans="1:12">
      <c r="A19" s="5">
        <f>A14</f>
        <v>0</v>
      </c>
      <c r="B19" s="5">
        <f t="shared" si="13"/>
        <v>0</v>
      </c>
      <c r="C19" s="5">
        <f t="shared" si="13"/>
        <v>1552890044092896</v>
      </c>
      <c r="D19" s="5">
        <f t="shared" si="13"/>
        <v>1075220134455600</v>
      </c>
      <c r="E19" s="5">
        <f t="shared" si="13"/>
        <v>5280067280295024</v>
      </c>
      <c r="L19" s="4"/>
    </row>
    <row r="20" spans="1:12">
      <c r="A20" s="5">
        <f>A15</f>
        <v>0</v>
      </c>
      <c r="B20" s="5">
        <f>B15</f>
        <v>0</v>
      </c>
      <c r="C20" s="5">
        <f>-C15*C14+C14*C15</f>
        <v>0</v>
      </c>
      <c r="D20" s="5">
        <f>-C15*D14+C14*D15</f>
        <v>4.1585836068864596E+28</v>
      </c>
      <c r="E20" s="5">
        <f>-C15*E14+C14*E15</f>
        <v>-1.4101756231201295E+30</v>
      </c>
      <c r="L20" s="4"/>
    </row>
    <row r="21" spans="1:12">
      <c r="L21" s="4"/>
    </row>
    <row r="22" spans="1:12">
      <c r="L22" s="4"/>
    </row>
    <row r="23" spans="1:12">
      <c r="L23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30E5-6EBC-4AF6-9048-235C5541507A}">
  <dimension ref="A1:P23"/>
  <sheetViews>
    <sheetView zoomScaleNormal="100" workbookViewId="0">
      <selection activeCell="B1" sqref="B1"/>
    </sheetView>
  </sheetViews>
  <sheetFormatPr defaultRowHeight="15"/>
  <cols>
    <col min="8" max="9" width="11" customWidth="1"/>
    <col min="10" max="10" width="12.5703125" customWidth="1"/>
    <col min="11" max="11" width="10.28515625" customWidth="1"/>
  </cols>
  <sheetData>
    <row r="1" spans="1:16">
      <c r="A1" t="s">
        <v>24</v>
      </c>
      <c r="I1" s="2" t="s">
        <v>1</v>
      </c>
      <c r="J1" s="2" t="s">
        <v>2</v>
      </c>
      <c r="M1" s="4"/>
    </row>
    <row r="2" spans="1:16">
      <c r="A2" s="6">
        <v>1</v>
      </c>
      <c r="B2" s="5">
        <f>O3</f>
        <v>0</v>
      </c>
      <c r="C2" s="5">
        <f>O3^2</f>
        <v>0</v>
      </c>
      <c r="D2" s="5">
        <f>O3^3</f>
        <v>0</v>
      </c>
      <c r="E2" s="5">
        <f>P3</f>
        <v>0</v>
      </c>
      <c r="H2" s="1" t="s">
        <v>25</v>
      </c>
      <c r="I2" s="5" t="e">
        <f>E20/D20</f>
        <v>#DIV/0!</v>
      </c>
      <c r="J2" s="11" t="e">
        <f>I2</f>
        <v>#DIV/0!</v>
      </c>
      <c r="M2" s="4"/>
      <c r="O2" s="5" t="s">
        <v>4</v>
      </c>
      <c r="P2" s="5" t="s">
        <v>5</v>
      </c>
    </row>
    <row r="3" spans="1:16">
      <c r="A3" s="6">
        <v>1</v>
      </c>
      <c r="B3" s="5">
        <f>O4</f>
        <v>0</v>
      </c>
      <c r="C3" s="5">
        <f>O4^2</f>
        <v>0</v>
      </c>
      <c r="D3" s="5">
        <f>O4^3</f>
        <v>0</v>
      </c>
      <c r="E3" s="5">
        <f>P4</f>
        <v>0</v>
      </c>
      <c r="H3" s="1" t="s">
        <v>18</v>
      </c>
      <c r="I3" s="5" t="e">
        <f>(E19-D19*I2)/C19</f>
        <v>#DIV/0!</v>
      </c>
      <c r="J3" s="11" t="e">
        <f t="shared" ref="J3:J5" si="0">I3</f>
        <v>#DIV/0!</v>
      </c>
      <c r="M3" s="4"/>
      <c r="O3" s="8">
        <v>0</v>
      </c>
      <c r="P3" s="8">
        <v>0</v>
      </c>
    </row>
    <row r="4" spans="1:16">
      <c r="A4" s="6">
        <v>1</v>
      </c>
      <c r="B4" s="5">
        <f>O5</f>
        <v>0</v>
      </c>
      <c r="C4" s="5">
        <f>O5^2</f>
        <v>0</v>
      </c>
      <c r="D4" s="5">
        <f>O5^3</f>
        <v>0</v>
      </c>
      <c r="E4" s="5">
        <f>P5</f>
        <v>0</v>
      </c>
      <c r="H4" s="1" t="s">
        <v>3</v>
      </c>
      <c r="I4" s="5" t="e">
        <f>(E18-D18*I2-C18*I3)/B18</f>
        <v>#DIV/0!</v>
      </c>
      <c r="J4" s="11" t="e">
        <f t="shared" si="0"/>
        <v>#DIV/0!</v>
      </c>
      <c r="M4" s="4"/>
      <c r="O4" s="8">
        <v>0</v>
      </c>
      <c r="P4" s="8">
        <v>0</v>
      </c>
    </row>
    <row r="5" spans="1:16">
      <c r="A5" s="6">
        <v>1</v>
      </c>
      <c r="B5" s="5">
        <f>O6</f>
        <v>0</v>
      </c>
      <c r="C5" s="5">
        <f>O6^2</f>
        <v>0</v>
      </c>
      <c r="D5" s="5">
        <f>O6^3</f>
        <v>0</v>
      </c>
      <c r="E5" s="5">
        <f>P6</f>
        <v>0</v>
      </c>
      <c r="H5" s="1" t="s">
        <v>11</v>
      </c>
      <c r="I5" s="5" t="e">
        <f>(E17-D17*I2-C17*I3-B17*I4)/A17</f>
        <v>#DIV/0!</v>
      </c>
      <c r="J5" s="11" t="e">
        <f t="shared" si="0"/>
        <v>#DIV/0!</v>
      </c>
      <c r="M5" s="4"/>
      <c r="O5" s="8">
        <v>0</v>
      </c>
      <c r="P5" s="8">
        <v>0</v>
      </c>
    </row>
    <row r="6" spans="1:16">
      <c r="A6" s="2"/>
      <c r="B6" s="2"/>
      <c r="C6" s="2"/>
      <c r="D6" s="2"/>
      <c r="E6" s="2"/>
      <c r="M6" s="4"/>
      <c r="O6" s="8">
        <v>0</v>
      </c>
      <c r="P6" s="8">
        <v>0</v>
      </c>
    </row>
    <row r="7" spans="1:16">
      <c r="A7" s="5">
        <f>A2</f>
        <v>1</v>
      </c>
      <c r="B7" s="5">
        <f>B2</f>
        <v>0</v>
      </c>
      <c r="C7" s="5">
        <f>C2</f>
        <v>0</v>
      </c>
      <c r="D7" s="5">
        <f>D2</f>
        <v>0</v>
      </c>
      <c r="E7" s="5">
        <f>E2</f>
        <v>0</v>
      </c>
      <c r="M7" s="4"/>
    </row>
    <row r="8" spans="1:16">
      <c r="A8" s="5">
        <f>-A3*A2+A2*A3</f>
        <v>0</v>
      </c>
      <c r="B8" s="5">
        <f>-A3*B2+A2*B3</f>
        <v>0</v>
      </c>
      <c r="C8" s="5">
        <f>-A3*C2+A2*C3</f>
        <v>0</v>
      </c>
      <c r="D8" s="5">
        <f>-A3*D2+A2*D3</f>
        <v>0</v>
      </c>
      <c r="E8" s="5">
        <f>-A3*E2+A2*E3</f>
        <v>0</v>
      </c>
      <c r="G8" s="1" t="s">
        <v>32</v>
      </c>
      <c r="H8" s="8">
        <v>0</v>
      </c>
      <c r="I8" t="s">
        <v>33</v>
      </c>
      <c r="M8" s="4"/>
    </row>
    <row r="9" spans="1:16">
      <c r="A9" s="5">
        <f>-A4*A2+A2*A4</f>
        <v>0</v>
      </c>
      <c r="B9" s="5">
        <f>-A4*B2+A2*B4</f>
        <v>0</v>
      </c>
      <c r="C9" s="5">
        <f>-A4*C2+A2*C4</f>
        <v>0</v>
      </c>
      <c r="D9" s="5">
        <f>-A4*D2+A2*D4</f>
        <v>0</v>
      </c>
      <c r="E9" s="5">
        <f>-A4*E2+A2*E4</f>
        <v>0</v>
      </c>
      <c r="M9" s="4"/>
    </row>
    <row r="10" spans="1:16">
      <c r="A10" s="5">
        <f>-A5*A2+A2*A5</f>
        <v>0</v>
      </c>
      <c r="B10" s="5">
        <f>-A5*B2+A2*B5</f>
        <v>0</v>
      </c>
      <c r="C10" s="5">
        <f>-A5*C2+A2*C5</f>
        <v>0</v>
      </c>
      <c r="D10" s="5">
        <f>-A5*D2+A2*D5</f>
        <v>0</v>
      </c>
      <c r="E10" s="5">
        <f>-A5*E2+A2*E5</f>
        <v>0</v>
      </c>
      <c r="G10" s="1" t="s">
        <v>34</v>
      </c>
      <c r="H10" s="2" t="e">
        <f>J5+H8*(J4)+H8^2*(J3)+H8^3*(J2)</f>
        <v>#DIV/0!</v>
      </c>
      <c r="I10" s="2"/>
      <c r="J10" s="2"/>
      <c r="K10" s="2"/>
      <c r="M10" s="4"/>
    </row>
    <row r="11" spans="1:16">
      <c r="A11" s="2"/>
      <c r="B11" s="2"/>
      <c r="C11" s="2"/>
      <c r="D11" s="2"/>
      <c r="E11" s="2"/>
      <c r="G11" s="1"/>
      <c r="M11" s="4"/>
    </row>
    <row r="12" spans="1:16">
      <c r="A12" s="5">
        <f>A7</f>
        <v>1</v>
      </c>
      <c r="B12" s="5">
        <f>B7</f>
        <v>0</v>
      </c>
      <c r="C12" s="5">
        <f>C7</f>
        <v>0</v>
      </c>
      <c r="D12" s="5">
        <f>D7</f>
        <v>0</v>
      </c>
      <c r="E12" s="5">
        <f>E7</f>
        <v>0</v>
      </c>
      <c r="M12" s="4"/>
    </row>
    <row r="13" spans="1:16">
      <c r="A13" s="5">
        <f>A8</f>
        <v>0</v>
      </c>
      <c r="B13" s="5">
        <f>B8</f>
        <v>0</v>
      </c>
      <c r="C13" s="5">
        <f t="shared" ref="C13:E13" si="1">C8</f>
        <v>0</v>
      </c>
      <c r="D13" s="5">
        <f t="shared" si="1"/>
        <v>0</v>
      </c>
      <c r="E13" s="5">
        <f t="shared" si="1"/>
        <v>0</v>
      </c>
      <c r="M13" s="4"/>
    </row>
    <row r="14" spans="1:16">
      <c r="A14" s="5">
        <f>A9</f>
        <v>0</v>
      </c>
      <c r="B14" s="5">
        <f>-B9*B8+B8*B9</f>
        <v>0</v>
      </c>
      <c r="C14" s="5">
        <f>-B9*C8+B8*C9</f>
        <v>0</v>
      </c>
      <c r="D14" s="5">
        <f>-B9*D8+B8*D9</f>
        <v>0</v>
      </c>
      <c r="E14" s="5">
        <f>-B9*E8+B8*E9</f>
        <v>0</v>
      </c>
      <c r="M14" s="4"/>
    </row>
    <row r="15" spans="1:16">
      <c r="A15" s="5">
        <f>A10</f>
        <v>0</v>
      </c>
      <c r="B15" s="5">
        <f>-B10*B8+B8*B10</f>
        <v>0</v>
      </c>
      <c r="C15" s="5">
        <f>-B10*C8+B8*C10</f>
        <v>0</v>
      </c>
      <c r="D15" s="5">
        <f>-B10*D8+B8*D10</f>
        <v>0</v>
      </c>
      <c r="E15" s="5">
        <f>-B10*E8+B8*E10</f>
        <v>0</v>
      </c>
      <c r="M15" s="4"/>
    </row>
    <row r="16" spans="1:16">
      <c r="A16" s="2"/>
      <c r="B16" s="2"/>
      <c r="C16" s="2"/>
      <c r="D16" s="2"/>
      <c r="E16" s="2"/>
      <c r="M16" s="4"/>
    </row>
    <row r="17" spans="1:13">
      <c r="A17" s="5">
        <f>A12</f>
        <v>1</v>
      </c>
      <c r="B17" s="5">
        <f>B12</f>
        <v>0</v>
      </c>
      <c r="C17" s="5">
        <f>C12</f>
        <v>0</v>
      </c>
      <c r="D17" s="5">
        <f>D12</f>
        <v>0</v>
      </c>
      <c r="E17" s="5">
        <f>E12</f>
        <v>0</v>
      </c>
      <c r="M17" s="4"/>
    </row>
    <row r="18" spans="1:13">
      <c r="A18" s="5">
        <f>A13</f>
        <v>0</v>
      </c>
      <c r="B18" s="5">
        <f t="shared" ref="B18:E19" si="2">B13</f>
        <v>0</v>
      </c>
      <c r="C18" s="5">
        <f t="shared" si="2"/>
        <v>0</v>
      </c>
      <c r="D18" s="5">
        <f t="shared" si="2"/>
        <v>0</v>
      </c>
      <c r="E18" s="5">
        <f t="shared" si="2"/>
        <v>0</v>
      </c>
      <c r="M18" s="4"/>
    </row>
    <row r="19" spans="1:13">
      <c r="A19" s="5">
        <f>A14</f>
        <v>0</v>
      </c>
      <c r="B19" s="5">
        <f t="shared" si="2"/>
        <v>0</v>
      </c>
      <c r="C19" s="5">
        <f t="shared" si="2"/>
        <v>0</v>
      </c>
      <c r="D19" s="5">
        <f t="shared" si="2"/>
        <v>0</v>
      </c>
      <c r="E19" s="5">
        <f t="shared" si="2"/>
        <v>0</v>
      </c>
      <c r="M19" s="4"/>
    </row>
    <row r="20" spans="1:13">
      <c r="A20" s="5">
        <f>A15</f>
        <v>0</v>
      </c>
      <c r="B20" s="5">
        <f>B15</f>
        <v>0</v>
      </c>
      <c r="C20" s="5">
        <f>-C15*C14+C14*C15</f>
        <v>0</v>
      </c>
      <c r="D20" s="5">
        <f>-C15*D14+C14*D15</f>
        <v>0</v>
      </c>
      <c r="E20" s="5">
        <f>-C15*E14+C14*E15</f>
        <v>0</v>
      </c>
      <c r="M20" s="4"/>
    </row>
    <row r="21" spans="1:13">
      <c r="M21" s="4"/>
    </row>
    <row r="22" spans="1:13">
      <c r="M22" s="4"/>
    </row>
    <row r="23" spans="1:13">
      <c r="M2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Xavier</dc:creator>
  <cp:keywords/>
  <dc:description/>
  <cp:lastModifiedBy>Douglas Masuzzo Brasilio</cp:lastModifiedBy>
  <cp:revision/>
  <dcterms:created xsi:type="dcterms:W3CDTF">2024-10-28T23:42:08Z</dcterms:created>
  <dcterms:modified xsi:type="dcterms:W3CDTF">2025-11-23T07:23:10Z</dcterms:modified>
  <cp:category/>
  <cp:contentStatus/>
</cp:coreProperties>
</file>