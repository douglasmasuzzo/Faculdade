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ardware" sheetId="1" state="visible" r:id="rId3"/>
    <sheet name="Mão de Obra" sheetId="2" state="visible" r:id="rId4"/>
    <sheet name="Resu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<sst xmlns="http://schemas.openxmlformats.org/spreadsheetml/2006/main" count="136" uniqueCount="122">
  <si>
    <t xml:space="preserve">PLANO ORÇAMENTÁRIO — RECURSOS MATERIAIS  |  PixelShift Soluções em TI</t>
  </si>
  <si>
    <t xml:space="preserve">Projeto nº 001/2025  |  Cliente: Estúdio Forma Comunicação Visual  |  Praia Grande – SP  |  Abr–Jul/2025</t>
  </si>
  <si>
    <t xml:space="preserve">Item / Equipamento</t>
  </si>
  <si>
    <t xml:space="preserve">Qtd.</t>
  </si>
  <si>
    <t xml:space="preserve">Valor Unitário (R$)</t>
  </si>
  <si>
    <t xml:space="preserve">Valor Total (R$)</t>
  </si>
  <si>
    <t xml:space="preserve">Observação</t>
  </si>
  <si>
    <t xml:space="preserve">  COMPUTADORES APPLE (hardware principal)</t>
  </si>
  <si>
    <t xml:space="preserve">Mac Mini M2 — 8GB RAM, 256GB SSD</t>
  </si>
  <si>
    <t xml:space="preserve">Estações fixas: 4 designers, 1 produtor de vídeo, 1 recepção</t>
  </si>
  <si>
    <t xml:space="preserve">MacBook Air M2 — 8GB RAM, 256GB SSD</t>
  </si>
  <si>
    <t xml:space="preserve">Mobilidade — sócios da agência (reuniões e trabalho externo)</t>
  </si>
  <si>
    <t xml:space="preserve">  MONITORES E PERIFÉRICOS</t>
  </si>
  <si>
    <t xml:space="preserve">Monitor LG 24" Full HD IPS (USB-C/HDMI)</t>
  </si>
  <si>
    <t xml:space="preserve">Apenas 2 novos — 4 monitores antigos reaproveitados da agência</t>
  </si>
  <si>
    <t xml:space="preserve">Adaptador USB-C → HDMI (para Macs sem porta HDMI)</t>
  </si>
  <si>
    <t xml:space="preserve">Conexão Mac Mini + MacBook Air aos monitores existentes</t>
  </si>
  <si>
    <t xml:space="preserve">  ARMAZENAMENTO E REDE</t>
  </si>
  <si>
    <t xml:space="preserve">HD Externo Seagate Expansion 2TB (USB 3.0)</t>
  </si>
  <si>
    <t xml:space="preserve">Backup Time Machine de todos os Macs via rede local</t>
  </si>
  <si>
    <t xml:space="preserve">Switch TP-Link 8 portas (TL-SG108) — não gerenciável</t>
  </si>
  <si>
    <t xml:space="preserve">Rede cabeada das estações fixas — solução simples e barata</t>
  </si>
  <si>
    <t xml:space="preserve">Cabos Cat5e (10m) + conectores RJ45</t>
  </si>
  <si>
    <t xml:space="preserve">Cabeamento das estações de trabalho</t>
  </si>
  <si>
    <t xml:space="preserve">Cabos HDMI 2.0 (2m)</t>
  </si>
  <si>
    <t xml:space="preserve">Conexão monitores externos</t>
  </si>
  <si>
    <t xml:space="preserve">  LICENÇAS DE SOFTWARE</t>
  </si>
  <si>
    <t xml:space="preserve">Adobe Creative Cloud — Plano Equipes (anual/usuário)</t>
  </si>
  <si>
    <t xml:space="preserve">R$ 329,90/usuário/mês × 12 meses — regularização das licenças</t>
  </si>
  <si>
    <t xml:space="preserve">Microsoft 365 Family — plano anual (até 6 usuários)</t>
  </si>
  <si>
    <t xml:space="preserve">Word, Excel, PowerPoint, Outlook — compartilhado pela equipe</t>
  </si>
  <si>
    <t xml:space="preserve">macOS (Ventura/Sonoma)</t>
  </si>
  <si>
    <t xml:space="preserve">Gratuito — incluso no hardware Apple</t>
  </si>
  <si>
    <t xml:space="preserve">Time Machine (backup nativo)</t>
  </si>
  <si>
    <t xml:space="preserve">Gratuito — nativo do macOS, sem custo adicional</t>
  </si>
  <si>
    <t xml:space="preserve">TOTAL GERAL — HARDWARE + SOFTWARE</t>
  </si>
  <si>
    <t xml:space="preserve">* 4 monitores já existentes na agência foram reaproveitados, reduzindo o custo total. Licenças Adobe calculadas sobre ano completo (12×).</t>
  </si>
  <si>
    <t xml:space="preserve">PLANO ORÇAMENTÁRIO — MÃO DE OBRA  |  PixelShift Soluções em TI</t>
  </si>
  <si>
    <t xml:space="preserve">Valor hora técnica: R$ 150,00/h (equipe PixelShift)  |  Total previsto: 48 horas  |  Projeto nº 001/2025</t>
  </si>
  <si>
    <t xml:space="preserve">Atividade / Serviço</t>
  </si>
  <si>
    <t xml:space="preserve">Horas</t>
  </si>
  <si>
    <t xml:space="preserve">Valor/Hora (R$)</t>
  </si>
  <si>
    <t xml:space="preserve">Responsável</t>
  </si>
  <si>
    <t xml:space="preserve">  FASE 1 — ANÁLISE (Abril)</t>
  </si>
  <si>
    <t xml:space="preserve">Visita técnica inicial à Estúdio Forma</t>
  </si>
  <si>
    <t xml:space="preserve">Lucas + Marina</t>
  </si>
  <si>
    <t xml:space="preserve">Inventário de hardware e software</t>
  </si>
  <si>
    <t xml:space="preserve">Lucas</t>
  </si>
  <si>
    <t xml:space="preserve">Entrevistas e mapeamento de fluxo de trabalho</t>
  </si>
  <si>
    <t xml:space="preserve">Marina</t>
  </si>
  <si>
    <t xml:space="preserve">Elaboração do relatório diagnóstico e proposta</t>
  </si>
  <si>
    <t xml:space="preserve">  FASE 2 — PLANEJAMENTO (Abril)</t>
  </si>
  <si>
    <t xml:space="preserve">Apresentação e negociação da proposta com o cliente</t>
  </si>
  <si>
    <t xml:space="preserve">Definição e pesquisa de equipamentos / compras</t>
  </si>
  <si>
    <t xml:space="preserve">  FASE 3 — PREPARAÇÃO DOS EQUIPAMENTOS (Maio)</t>
  </si>
  <si>
    <t xml:space="preserve">Configuração base dos Macs (contas, Apple ID, macOS)</t>
  </si>
  <si>
    <t xml:space="preserve">Instalação Adobe Creative Cloud (8 máquinas)</t>
  </si>
  <si>
    <t xml:space="preserve">Instalação Microsoft 365 e demais softwares</t>
  </si>
  <si>
    <t xml:space="preserve">  FASE 4 — IMPLANTAÇÃO (Maio–Junho)</t>
  </si>
  <si>
    <t xml:space="preserve">Instalação física das estações (3 sábados de trabalho)</t>
  </si>
  <si>
    <t xml:space="preserve">Lucas + Rafael</t>
  </si>
  <si>
    <t xml:space="preserve">Migração de dados dos HDs externos para os Macs</t>
  </si>
  <si>
    <t xml:space="preserve">Configuração de rede, switch e Time Machine</t>
  </si>
  <si>
    <t xml:space="preserve">Rafael</t>
  </si>
  <si>
    <t xml:space="preserve">Testes gerais de funcionamento e integração</t>
  </si>
  <si>
    <t xml:space="preserve">  FASE 5 — TREINAMENTO (Junho–Julho)</t>
  </si>
  <si>
    <t xml:space="preserve">Treinamento: interface macOS e uso geral</t>
  </si>
  <si>
    <t xml:space="preserve">Marina + Lucas</t>
  </si>
  <si>
    <t xml:space="preserve">Treinamento: Adobe CC no macOS</t>
  </si>
  <si>
    <t xml:space="preserve">Suporte presencial adicional — adaptação da equipe</t>
  </si>
  <si>
    <t xml:space="preserve">  FASE 6 — ASSESSORIA E ENCERRAMENTO (Julho)</t>
  </si>
  <si>
    <t xml:space="preserve">Acompanhamento pós-migração e resolução de dúvidas</t>
  </si>
  <si>
    <t xml:space="preserve">Documentação técnica do ambiente final</t>
  </si>
  <si>
    <t xml:space="preserve">Reunião de encerramento e aceite do projeto</t>
  </si>
  <si>
    <t xml:space="preserve">TOTAL MÃO DE OBRA</t>
  </si>
  <si>
    <t xml:space="preserve">* Valor hora técnica único (R$ 150/h) para toda a equipe — padrão adotado pela PixelShift para projetos de implantação em pequenas empresas.</t>
  </si>
  <si>
    <t xml:space="preserve">RESUMO EXECUTIVO DO ORÇAMENTO — PROJETO DE MIGRAÇÃO WINDOWS → macOS</t>
  </si>
  <si>
    <t xml:space="preserve">PixelShift Soluções em TI  |  Cliente: Estúdio Forma Comunicação Visual  |  Praia Grande – SP  |  2025</t>
  </si>
  <si>
    <t xml:space="preserve">#</t>
  </si>
  <si>
    <t xml:space="preserve">Categoria</t>
  </si>
  <si>
    <t xml:space="preserve">Descrição</t>
  </si>
  <si>
    <t xml:space="preserve">Subtotal (R$)</t>
  </si>
  <si>
    <t xml:space="preserve">% do Total</t>
  </si>
  <si>
    <t xml:space="preserve">1</t>
  </si>
  <si>
    <t xml:space="preserve">Hardware Apple</t>
  </si>
  <si>
    <t xml:space="preserve">Mac Mini M2 (6 un.) + MacBook Air M2 (2 un.)</t>
  </si>
  <si>
    <t xml:space="preserve">2</t>
  </si>
  <si>
    <t xml:space="preserve">Monitores</t>
  </si>
  <si>
    <t xml:space="preserve">2 novos LG 24" + 4 reutilizados — adaptadores</t>
  </si>
  <si>
    <t xml:space="preserve">3</t>
  </si>
  <si>
    <t xml:space="preserve">Infraestrutura</t>
  </si>
  <si>
    <t xml:space="preserve">HD externo 2TB, switch TP-Link, cabos e acessórios</t>
  </si>
  <si>
    <t xml:space="preserve">4</t>
  </si>
  <si>
    <t xml:space="preserve">Licenças de Software</t>
  </si>
  <si>
    <t xml:space="preserve">Adobe CC 8 usuários (anual) + Microsoft 365 Family</t>
  </si>
  <si>
    <t xml:space="preserve">5</t>
  </si>
  <si>
    <t xml:space="preserve">Mão de Obra</t>
  </si>
  <si>
    <t xml:space="preserve">48 horas técnicas × R$ 150/h — equipe PixelShift</t>
  </si>
  <si>
    <t xml:space="preserve">TOTAL GERAL DO PROJETO</t>
  </si>
  <si>
    <t xml:space="preserve">INDICADORES DO PROJETO</t>
  </si>
  <si>
    <t xml:space="preserve">Dispositivos migrados</t>
  </si>
  <si>
    <t xml:space="preserve">Usuários treinados</t>
  </si>
  <si>
    <t xml:space="preserve">Horas técnicas totais</t>
  </si>
  <si>
    <t xml:space="preserve">Duração do projeto</t>
  </si>
  <si>
    <t xml:space="preserve">Contrato de suporte</t>
  </si>
  <si>
    <t xml:space="preserve">8 Macs</t>
  </si>
  <si>
    <t xml:space="preserve">10 colaboradores</t>
  </si>
  <si>
    <t xml:space="preserve">48 horas</t>
  </si>
  <si>
    <t xml:space="preserve">4 meses (Abr–Jul)</t>
  </si>
  <si>
    <t xml:space="preserve">R$ 350/mês (12 meses)</t>
  </si>
  <si>
    <t xml:space="preserve">COMPOSIÇÃO DO INVESTIMENTO</t>
  </si>
  <si>
    <t xml:space="preserve">  Hardware Apple</t>
  </si>
  <si>
    <t xml:space="preserve">███████████████████ 57.6%</t>
  </si>
  <si>
    <t xml:space="preserve">  Monitores</t>
  </si>
  <si>
    <t xml:space="preserve"> 2.1%</t>
  </si>
  <si>
    <t xml:space="preserve">  Infraestrutura</t>
  </si>
  <si>
    <t xml:space="preserve"> 1.1%</t>
  </si>
  <si>
    <t xml:space="preserve">  Licenças de Software</t>
  </si>
  <si>
    <t xml:space="preserve">██████████ 32.1%</t>
  </si>
  <si>
    <t xml:space="preserve">  Mão de Obra</t>
  </si>
  <si>
    <t xml:space="preserve">██ 7.2%</t>
  </si>
  <si>
    <t xml:space="preserve">PixelShift Soluções em TI — Proposta Comercial nº 001/2025. Valores vigentes em abril/2025. Licenças Adobe calculadas sobre 12 meses.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</si>
</sst>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&quot;R$ &quot;#,##0.00"/>
    <numFmt numFmtId="167" formatCode="0.0\%"/>
    <numFmt numFmtId="168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2E5DA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2E5DA6"/>
      <name val="Arial"/>
      <family val="0"/>
      <charset val="1"/>
    </font>
    <font>
      <b val="true"/>
      <sz val="9"/>
      <color rgb="FF0046D6"/>
      <name val="Arial"/>
      <family val="0"/>
      <charset val="1"/>
    </font>
    <font>
      <b val="true"/>
      <sz val="9"/>
      <color rgb="FF4472C4"/>
      <name val="Arial"/>
      <family val="0"/>
      <charset val="1"/>
    </font>
    <font>
      <b val="true"/>
      <sz val="9"/>
      <color rgb="FF70AD47"/>
      <name val="Arial"/>
      <family val="0"/>
      <charset val="1"/>
    </font>
    <font>
      <b val="true"/>
      <sz val="9"/>
      <color rgb="FFED7D31"/>
      <name val="Arial"/>
      <family val="0"/>
      <charset val="1"/>
    </font>
    <font>
      <b val="true"/>
      <sz val="9"/>
      <color rgb="FFA5A5A5"/>
      <name val="Arial"/>
      <family val="0"/>
      <charset val="1"/>
    </font>
    <font>
      <i val="true"/>
      <sz val="8"/>
      <color rgb="FF77777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DA6"/>
        <bgColor rgb="FF4472C4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BDD7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FCC"/>
      <rgbColor rgb="FFEBF3FB"/>
      <rgbColor rgb="FF660066"/>
      <rgbColor rgb="FFFF8080"/>
      <rgbColor rgb="FF0046D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55555"/>
      <rgbColor rgb="FFA5A5A5"/>
      <rgbColor rgb="FF1F3864"/>
      <rgbColor rgb="FF70AD47"/>
      <rgbColor rgb="FF003300"/>
      <rgbColor rgb="FF444444"/>
      <rgbColor rgb="FF993300"/>
      <rgbColor rgb="FF993366"/>
      <rgbColor rgb="FF2E5DA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"/>
    <col collapsed="false" customWidth="true" hidden="false" outlineLevel="0" max="4" min="3" style="2" width="20"/>
    <col collapsed="false" customWidth="true" hidden="false" outlineLevel="0" max="5" min="5" style="1" width="30"/>
  </cols>
  <sheetData>
    <row r="1" customFormat="false" ht="25.5" hidden="false" customHeight="true" outlineLevel="0" collapsed="false">
      <c r="A1" s="3" t="s">
        <v>0</v>
      </c>
      <c r="B1" s="3"/>
      <c r="C1" s="3"/>
      <c r="D1" s="3"/>
      <c r="E1" s="3"/>
    </row>
    <row r="2" customFormat="false" ht="15" hidden="false" customHeight="true" outlineLevel="0" collapsed="false">
      <c r="A2" s="4" t="s">
        <v>1</v>
      </c>
      <c r="B2" s="4"/>
      <c r="C2" s="4"/>
      <c r="D2" s="4"/>
      <c r="E2" s="4"/>
    </row>
    <row r="3" customFormat="false" ht="4.5" hidden="false" customHeight="true" outlineLevel="0" collapsed="false"/>
    <row r="4" customFormat="false" ht="18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customFormat="false" ht="15" hidden="false" customHeight="true" outlineLevel="0" collapsed="false">
      <c r="A5" s="6" t="s">
        <v>7</v>
      </c>
      <c r="B5" s="6"/>
      <c r="C5" s="6"/>
      <c r="D5" s="6"/>
      <c r="E5" s="6"/>
    </row>
    <row r="6" customFormat="false" ht="15" hidden="false" customHeight="true" outlineLevel="0" collapsed="false">
      <c r="A6" s="7" t="s">
        <v>8</v>
      </c>
      <c r="B6" s="8" t="n">
        <v>6</v>
      </c>
      <c r="C6" s="9" t="n">
        <v>6499</v>
      </c>
      <c r="D6" s="9" t="n">
        <v>38994</v>
      </c>
      <c r="E6" s="10" t="s">
        <v>9</v>
      </c>
    </row>
    <row r="7" customFormat="false" ht="15" hidden="false" customHeight="true" outlineLevel="0" collapsed="false">
      <c r="A7" s="11" t="s">
        <v>10</v>
      </c>
      <c r="B7" s="12" t="n">
        <v>2</v>
      </c>
      <c r="C7" s="13" t="n">
        <v>9499</v>
      </c>
      <c r="D7" s="13" t="n">
        <v>18998</v>
      </c>
      <c r="E7" s="14" t="s">
        <v>11</v>
      </c>
    </row>
    <row r="8" customFormat="false" ht="15" hidden="false" customHeight="true" outlineLevel="0" collapsed="false">
      <c r="A8" s="6" t="s">
        <v>12</v>
      </c>
      <c r="B8" s="6"/>
      <c r="C8" s="6"/>
      <c r="D8" s="6"/>
      <c r="E8" s="6"/>
    </row>
    <row r="9" customFormat="false" ht="15" hidden="false" customHeight="true" outlineLevel="0" collapsed="false">
      <c r="A9" s="7" t="s">
        <v>13</v>
      </c>
      <c r="B9" s="8" t="n">
        <v>2</v>
      </c>
      <c r="C9" s="9" t="n">
        <v>799</v>
      </c>
      <c r="D9" s="9" t="n">
        <v>1598</v>
      </c>
      <c r="E9" s="10" t="s">
        <v>14</v>
      </c>
    </row>
    <row r="10" customFormat="false" ht="15" hidden="false" customHeight="true" outlineLevel="0" collapsed="false">
      <c r="A10" s="11" t="s">
        <v>15</v>
      </c>
      <c r="B10" s="12" t="n">
        <v>6</v>
      </c>
      <c r="C10" s="13" t="n">
        <v>89</v>
      </c>
      <c r="D10" s="13" t="n">
        <v>534</v>
      </c>
      <c r="E10" s="14" t="s">
        <v>16</v>
      </c>
    </row>
    <row r="11" customFormat="false" ht="15" hidden="false" customHeight="true" outlineLevel="0" collapsed="false">
      <c r="A11" s="6" t="s">
        <v>17</v>
      </c>
      <c r="B11" s="6"/>
      <c r="C11" s="6"/>
      <c r="D11" s="6"/>
      <c r="E11" s="6"/>
    </row>
    <row r="12" customFormat="false" ht="15" hidden="false" customHeight="true" outlineLevel="0" collapsed="false">
      <c r="A12" s="7" t="s">
        <v>18</v>
      </c>
      <c r="B12" s="8" t="n">
        <v>1</v>
      </c>
      <c r="C12" s="9" t="n">
        <v>389</v>
      </c>
      <c r="D12" s="9" t="n">
        <v>389</v>
      </c>
      <c r="E12" s="10" t="s">
        <v>19</v>
      </c>
    </row>
    <row r="13" customFormat="false" ht="15" hidden="false" customHeight="true" outlineLevel="0" collapsed="false">
      <c r="A13" s="11" t="s">
        <v>20</v>
      </c>
      <c r="B13" s="12" t="n">
        <v>1</v>
      </c>
      <c r="C13" s="13" t="n">
        <v>189</v>
      </c>
      <c r="D13" s="13" t="n">
        <v>189</v>
      </c>
      <c r="E13" s="14" t="s">
        <v>21</v>
      </c>
    </row>
    <row r="14" customFormat="false" ht="15" hidden="false" customHeight="true" outlineLevel="0" collapsed="false">
      <c r="A14" s="7" t="s">
        <v>22</v>
      </c>
      <c r="B14" s="8" t="n">
        <v>6</v>
      </c>
      <c r="C14" s="9" t="n">
        <v>35</v>
      </c>
      <c r="D14" s="9" t="n">
        <v>210</v>
      </c>
      <c r="E14" s="10" t="s">
        <v>23</v>
      </c>
    </row>
    <row r="15" customFormat="false" ht="15" hidden="false" customHeight="true" outlineLevel="0" collapsed="false">
      <c r="A15" s="11" t="s">
        <v>24</v>
      </c>
      <c r="B15" s="12" t="n">
        <v>6</v>
      </c>
      <c r="C15" s="13" t="n">
        <v>45</v>
      </c>
      <c r="D15" s="13" t="n">
        <v>270</v>
      </c>
      <c r="E15" s="14" t="s">
        <v>25</v>
      </c>
    </row>
    <row r="16" customFormat="false" ht="15" hidden="false" customHeight="true" outlineLevel="0" collapsed="false">
      <c r="A16" s="6" t="s">
        <v>26</v>
      </c>
      <c r="B16" s="6"/>
      <c r="C16" s="6"/>
      <c r="D16" s="6"/>
      <c r="E16" s="6"/>
    </row>
    <row r="17" customFormat="false" ht="15" hidden="false" customHeight="true" outlineLevel="0" collapsed="false">
      <c r="A17" s="7" t="s">
        <v>27</v>
      </c>
      <c r="B17" s="8" t="n">
        <v>8</v>
      </c>
      <c r="C17" s="9" t="n">
        <v>3958.8</v>
      </c>
      <c r="D17" s="9" t="n">
        <v>31670.4</v>
      </c>
      <c r="E17" s="10" t="s">
        <v>28</v>
      </c>
    </row>
    <row r="18" customFormat="false" ht="15" hidden="false" customHeight="true" outlineLevel="0" collapsed="false">
      <c r="A18" s="11" t="s">
        <v>29</v>
      </c>
      <c r="B18" s="12" t="n">
        <v>1</v>
      </c>
      <c r="C18" s="13" t="n">
        <v>599</v>
      </c>
      <c r="D18" s="13" t="n">
        <v>599</v>
      </c>
      <c r="E18" s="14" t="s">
        <v>30</v>
      </c>
    </row>
    <row r="19" customFormat="false" ht="15" hidden="false" customHeight="true" outlineLevel="0" collapsed="false">
      <c r="A19" s="7" t="s">
        <v>31</v>
      </c>
      <c r="B19" s="8" t="n">
        <v>8</v>
      </c>
      <c r="C19" s="9" t="n">
        <v>0</v>
      </c>
      <c r="D19" s="9" t="n">
        <v>0</v>
      </c>
      <c r="E19" s="10" t="s">
        <v>32</v>
      </c>
    </row>
    <row r="20" customFormat="false" ht="15" hidden="false" customHeight="true" outlineLevel="0" collapsed="false">
      <c r="A20" s="11" t="s">
        <v>33</v>
      </c>
      <c r="B20" s="12" t="n">
        <v>8</v>
      </c>
      <c r="C20" s="13" t="n">
        <v>0</v>
      </c>
      <c r="D20" s="13" t="n">
        <v>0</v>
      </c>
      <c r="E20" s="14" t="s">
        <v>34</v>
      </c>
    </row>
    <row r="21" customFormat="false" ht="4.5" hidden="false" customHeight="true" outlineLevel="0" collapsed="false"/>
    <row r="22" customFormat="false" ht="19.5" hidden="false" customHeight="true" outlineLevel="0" collapsed="false">
      <c r="A22" s="15" t="s">
        <v>35</v>
      </c>
      <c r="B22" s="15"/>
      <c r="C22" s="15"/>
      <c r="D22" s="16" t="n">
        <f aca="false">SUM(D6,D7,D9,D10,D12,D13,D14,D15,D17,D18,D19,D20)</f>
        <v>93451.4</v>
      </c>
      <c r="E22" s="17"/>
    </row>
    <row r="23" customFormat="false" ht="15" hidden="false" customHeight="true" outlineLevel="0" collapsed="false"/>
    <row r="24" customFormat="false" ht="15" hidden="false" customHeight="true" outlineLevel="0" collapsed="false">
      <c r="A24" s="18" t="s">
        <v>36</v>
      </c>
      <c r="B24" s="18"/>
      <c r="C24" s="18"/>
      <c r="D24" s="18"/>
      <c r="E24" s="18"/>
    </row>
    <row r="25" customFormat="false" ht="6" hidden="false" customHeight="true" outlineLevel="0" collapsed="false"/>
    <row r="26" customFormat="false" ht="19.5" hidden="false" customHeight="true" outlineLevel="0" collapsed="false"/>
    <row r="28" customFormat="false" ht="15" hidden="false" customHeight="true" outlineLevel="0" collapsed="false"/>
  </sheetData>
  <mergeCells count="8">
    <mergeCell ref="A1:E1"/>
    <mergeCell ref="A2:E2"/>
    <mergeCell ref="A5:E5"/>
    <mergeCell ref="A8:E8"/>
    <mergeCell ref="A11:E11"/>
    <mergeCell ref="A16:E16"/>
    <mergeCell ref="A22:C22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90" zoomScaleNormal="190" zoomScalePageLayoutView="100" workbookViewId="0">
      <selection pane="topLeft" activeCell="G11" activeCellId="0" sqref="G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"/>
    <col collapsed="false" customWidth="true" hidden="false" outlineLevel="0" max="4" min="3" style="2" width="20"/>
    <col collapsed="false" customWidth="true" hidden="false" outlineLevel="0" max="5" min="5" style="1" width="20"/>
  </cols>
  <sheetData>
    <row r="1" customFormat="false" ht="25.5" hidden="false" customHeight="true" outlineLevel="0" collapsed="false">
      <c r="A1" s="3" t="s">
        <v>37</v>
      </c>
      <c r="B1" s="3"/>
      <c r="C1" s="3"/>
      <c r="D1" s="3"/>
      <c r="E1" s="3"/>
    </row>
    <row r="2" customFormat="false" ht="15" hidden="false" customHeight="true" outlineLevel="0" collapsed="false">
      <c r="A2" s="4" t="s">
        <v>38</v>
      </c>
      <c r="B2" s="4"/>
      <c r="C2" s="4"/>
      <c r="D2" s="4"/>
      <c r="E2" s="4"/>
    </row>
    <row r="3" customFormat="false" ht="4.5" hidden="false" customHeight="true" outlineLevel="0" collapsed="false"/>
    <row r="4" customFormat="false" ht="18" hidden="false" customHeight="true" outlineLevel="0" collapsed="false">
      <c r="A4" s="5" t="s">
        <v>39</v>
      </c>
      <c r="B4" s="5" t="s">
        <v>40</v>
      </c>
      <c r="C4" s="5" t="s">
        <v>41</v>
      </c>
      <c r="D4" s="5" t="s">
        <v>5</v>
      </c>
      <c r="E4" s="5" t="s">
        <v>42</v>
      </c>
    </row>
    <row r="5" customFormat="false" ht="15" hidden="false" customHeight="true" outlineLevel="0" collapsed="false">
      <c r="A5" s="6" t="s">
        <v>43</v>
      </c>
      <c r="B5" s="6"/>
      <c r="C5" s="6"/>
      <c r="D5" s="6"/>
      <c r="E5" s="6"/>
    </row>
    <row r="6" customFormat="false" ht="15" hidden="false" customHeight="true" outlineLevel="0" collapsed="false">
      <c r="A6" s="7" t="s">
        <v>44</v>
      </c>
      <c r="B6" s="8" t="n">
        <v>2</v>
      </c>
      <c r="C6" s="9" t="n">
        <v>150</v>
      </c>
      <c r="D6" s="9" t="n">
        <v>300</v>
      </c>
      <c r="E6" s="19" t="s">
        <v>45</v>
      </c>
    </row>
    <row r="7" customFormat="false" ht="15" hidden="false" customHeight="true" outlineLevel="0" collapsed="false">
      <c r="A7" s="11" t="s">
        <v>46</v>
      </c>
      <c r="B7" s="12" t="n">
        <v>4</v>
      </c>
      <c r="C7" s="13" t="n">
        <v>150</v>
      </c>
      <c r="D7" s="13" t="n">
        <v>600</v>
      </c>
      <c r="E7" s="20" t="s">
        <v>47</v>
      </c>
    </row>
    <row r="8" customFormat="false" ht="15" hidden="false" customHeight="true" outlineLevel="0" collapsed="false">
      <c r="A8" s="7" t="s">
        <v>48</v>
      </c>
      <c r="B8" s="8" t="n">
        <v>3</v>
      </c>
      <c r="C8" s="9" t="n">
        <v>150</v>
      </c>
      <c r="D8" s="9" t="n">
        <v>450</v>
      </c>
      <c r="E8" s="19" t="s">
        <v>49</v>
      </c>
    </row>
    <row r="9" customFormat="false" ht="15" hidden="false" customHeight="true" outlineLevel="0" collapsed="false">
      <c r="A9" s="11" t="s">
        <v>50</v>
      </c>
      <c r="B9" s="12" t="n">
        <v>3</v>
      </c>
      <c r="C9" s="13" t="n">
        <v>150</v>
      </c>
      <c r="D9" s="13" t="n">
        <v>450</v>
      </c>
      <c r="E9" s="20" t="s">
        <v>49</v>
      </c>
    </row>
    <row r="10" customFormat="false" ht="15" hidden="false" customHeight="true" outlineLevel="0" collapsed="false">
      <c r="A10" s="6" t="s">
        <v>51</v>
      </c>
      <c r="B10" s="6"/>
      <c r="C10" s="6"/>
      <c r="D10" s="6"/>
      <c r="E10" s="6"/>
    </row>
    <row r="11" customFormat="false" ht="15" hidden="false" customHeight="true" outlineLevel="0" collapsed="false">
      <c r="A11" s="7" t="s">
        <v>52</v>
      </c>
      <c r="B11" s="8" t="n">
        <v>2</v>
      </c>
      <c r="C11" s="9" t="n">
        <v>150</v>
      </c>
      <c r="D11" s="9" t="n">
        <v>300</v>
      </c>
      <c r="E11" s="19" t="s">
        <v>49</v>
      </c>
    </row>
    <row r="12" customFormat="false" ht="15" hidden="false" customHeight="true" outlineLevel="0" collapsed="false">
      <c r="A12" s="11" t="s">
        <v>53</v>
      </c>
      <c r="B12" s="12" t="n">
        <v>2</v>
      </c>
      <c r="C12" s="13" t="n">
        <v>150</v>
      </c>
      <c r="D12" s="13" t="n">
        <v>300</v>
      </c>
      <c r="E12" s="20" t="s">
        <v>45</v>
      </c>
    </row>
    <row r="13" customFormat="false" ht="15" hidden="false" customHeight="true" outlineLevel="0" collapsed="false">
      <c r="A13" s="6" t="s">
        <v>54</v>
      </c>
      <c r="B13" s="6"/>
      <c r="C13" s="6"/>
      <c r="D13" s="6"/>
      <c r="E13" s="6"/>
    </row>
    <row r="14" customFormat="false" ht="15" hidden="false" customHeight="true" outlineLevel="0" collapsed="false">
      <c r="A14" s="7" t="s">
        <v>55</v>
      </c>
      <c r="B14" s="8" t="n">
        <v>4</v>
      </c>
      <c r="C14" s="9" t="n">
        <v>150</v>
      </c>
      <c r="D14" s="9" t="n">
        <v>600</v>
      </c>
      <c r="E14" s="19" t="s">
        <v>47</v>
      </c>
    </row>
    <row r="15" customFormat="false" ht="15" hidden="false" customHeight="true" outlineLevel="0" collapsed="false">
      <c r="A15" s="11" t="s">
        <v>56</v>
      </c>
      <c r="B15" s="12" t="n">
        <v>3</v>
      </c>
      <c r="C15" s="13" t="n">
        <v>150</v>
      </c>
      <c r="D15" s="13" t="n">
        <v>450</v>
      </c>
      <c r="E15" s="20" t="s">
        <v>47</v>
      </c>
    </row>
    <row r="16" customFormat="false" ht="15" hidden="false" customHeight="true" outlineLevel="0" collapsed="false">
      <c r="A16" s="7" t="s">
        <v>57</v>
      </c>
      <c r="B16" s="8" t="n">
        <v>2</v>
      </c>
      <c r="C16" s="9" t="n">
        <v>150</v>
      </c>
      <c r="D16" s="9" t="n">
        <v>300</v>
      </c>
      <c r="E16" s="19" t="s">
        <v>47</v>
      </c>
    </row>
    <row r="17" customFormat="false" ht="15" hidden="false" customHeight="true" outlineLevel="0" collapsed="false">
      <c r="A17" s="6" t="s">
        <v>58</v>
      </c>
      <c r="B17" s="6"/>
      <c r="C17" s="6"/>
      <c r="D17" s="6"/>
      <c r="E17" s="6"/>
    </row>
    <row r="18" customFormat="false" ht="15" hidden="false" customHeight="true" outlineLevel="0" collapsed="false">
      <c r="A18" s="7" t="s">
        <v>59</v>
      </c>
      <c r="B18" s="8" t="n">
        <v>9</v>
      </c>
      <c r="C18" s="9" t="n">
        <v>150</v>
      </c>
      <c r="D18" s="9" t="n">
        <v>1350</v>
      </c>
      <c r="E18" s="19" t="s">
        <v>60</v>
      </c>
    </row>
    <row r="19" customFormat="false" ht="15" hidden="false" customHeight="true" outlineLevel="0" collapsed="false">
      <c r="A19" s="11" t="s">
        <v>61</v>
      </c>
      <c r="B19" s="12" t="n">
        <v>6</v>
      </c>
      <c r="C19" s="13" t="n">
        <v>150</v>
      </c>
      <c r="D19" s="13" t="n">
        <v>900</v>
      </c>
      <c r="E19" s="20" t="s">
        <v>60</v>
      </c>
    </row>
    <row r="20" customFormat="false" ht="15" hidden="false" customHeight="true" outlineLevel="0" collapsed="false">
      <c r="A20" s="7" t="s">
        <v>62</v>
      </c>
      <c r="B20" s="8" t="n">
        <v>3</v>
      </c>
      <c r="C20" s="9" t="n">
        <v>150</v>
      </c>
      <c r="D20" s="9" t="n">
        <v>450</v>
      </c>
      <c r="E20" s="19" t="s">
        <v>63</v>
      </c>
    </row>
    <row r="21" customFormat="false" ht="15" hidden="false" customHeight="true" outlineLevel="0" collapsed="false">
      <c r="A21" s="11" t="s">
        <v>64</v>
      </c>
      <c r="B21" s="12" t="n">
        <v>2</v>
      </c>
      <c r="C21" s="13" t="n">
        <v>150</v>
      </c>
      <c r="D21" s="13" t="n">
        <v>300</v>
      </c>
      <c r="E21" s="20" t="s">
        <v>45</v>
      </c>
    </row>
    <row r="22" customFormat="false" ht="15" hidden="false" customHeight="true" outlineLevel="0" collapsed="false">
      <c r="A22" s="6" t="s">
        <v>65</v>
      </c>
      <c r="B22" s="6"/>
      <c r="C22" s="6"/>
      <c r="D22" s="6"/>
      <c r="E22" s="6"/>
    </row>
    <row r="23" customFormat="false" ht="15" hidden="false" customHeight="true" outlineLevel="0" collapsed="false">
      <c r="A23" s="7" t="s">
        <v>66</v>
      </c>
      <c r="B23" s="8" t="n">
        <v>2</v>
      </c>
      <c r="C23" s="9" t="n">
        <v>150</v>
      </c>
      <c r="D23" s="9" t="n">
        <v>300</v>
      </c>
      <c r="E23" s="19" t="s">
        <v>67</v>
      </c>
    </row>
    <row r="24" customFormat="false" ht="15" hidden="false" customHeight="true" outlineLevel="0" collapsed="false">
      <c r="A24" s="11" t="s">
        <v>68</v>
      </c>
      <c r="B24" s="12" t="n">
        <v>2</v>
      </c>
      <c r="C24" s="13" t="n">
        <v>150</v>
      </c>
      <c r="D24" s="13" t="n">
        <v>300</v>
      </c>
      <c r="E24" s="20" t="s">
        <v>49</v>
      </c>
    </row>
    <row r="25" customFormat="false" ht="15" hidden="false" customHeight="true" outlineLevel="0" collapsed="false">
      <c r="A25" s="7" t="s">
        <v>69</v>
      </c>
      <c r="B25" s="8" t="n">
        <v>4</v>
      </c>
      <c r="C25" s="9" t="n">
        <v>150</v>
      </c>
      <c r="D25" s="9" t="n">
        <v>600</v>
      </c>
      <c r="E25" s="19" t="s">
        <v>47</v>
      </c>
    </row>
    <row r="26" customFormat="false" ht="15" hidden="false" customHeight="true" outlineLevel="0" collapsed="false">
      <c r="A26" s="6" t="s">
        <v>70</v>
      </c>
      <c r="B26" s="6"/>
      <c r="C26" s="6"/>
      <c r="D26" s="6"/>
      <c r="E26" s="6"/>
    </row>
    <row r="27" customFormat="false" ht="15" hidden="false" customHeight="true" outlineLevel="0" collapsed="false">
      <c r="A27" s="7" t="s">
        <v>71</v>
      </c>
      <c r="B27" s="8" t="n">
        <v>2</v>
      </c>
      <c r="C27" s="9" t="n">
        <v>150</v>
      </c>
      <c r="D27" s="9" t="n">
        <v>300</v>
      </c>
      <c r="E27" s="19" t="s">
        <v>47</v>
      </c>
    </row>
    <row r="28" customFormat="false" ht="15" hidden="false" customHeight="true" outlineLevel="0" collapsed="false">
      <c r="A28" s="11" t="s">
        <v>72</v>
      </c>
      <c r="B28" s="12" t="n">
        <v>2</v>
      </c>
      <c r="C28" s="13" t="n">
        <v>150</v>
      </c>
      <c r="D28" s="13" t="n">
        <v>300</v>
      </c>
      <c r="E28" s="20" t="s">
        <v>49</v>
      </c>
    </row>
    <row r="29" customFormat="false" ht="15" hidden="false" customHeight="true" outlineLevel="0" collapsed="false">
      <c r="A29" s="7" t="s">
        <v>73</v>
      </c>
      <c r="B29" s="8" t="n">
        <v>1</v>
      </c>
      <c r="C29" s="9" t="n">
        <v>150</v>
      </c>
      <c r="D29" s="9" t="n">
        <v>150</v>
      </c>
      <c r="E29" s="19" t="s">
        <v>45</v>
      </c>
    </row>
    <row r="30" customFormat="false" ht="4.5" hidden="false" customHeight="true" outlineLevel="0" collapsed="false"/>
    <row r="31" customFormat="false" ht="19.5" hidden="false" customHeight="true" outlineLevel="0" collapsed="false">
      <c r="A31" s="15" t="s">
        <v>74</v>
      </c>
      <c r="B31" s="15"/>
      <c r="C31" s="15"/>
      <c r="D31" s="16" t="n">
        <f aca="false">SUM(D6,D7,D8,D9,D11,D12,D14,D15,D16,D18,D19,D20,D21,D23,D24,D25,D27,D28,D29)</f>
        <v>8700</v>
      </c>
      <c r="E31" s="17"/>
    </row>
    <row r="32" customFormat="false" ht="15" hidden="false" customHeight="true" outlineLevel="0" collapsed="false"/>
    <row r="33" customFormat="false" ht="15" hidden="false" customHeight="true" outlineLevel="0" collapsed="false">
      <c r="A33" s="18" t="s">
        <v>75</v>
      </c>
      <c r="B33" s="18"/>
      <c r="C33" s="18"/>
      <c r="D33" s="18"/>
      <c r="E33" s="18"/>
    </row>
    <row r="34" customFormat="false" ht="6" hidden="false" customHeight="true" outlineLevel="0" collapsed="false"/>
    <row r="35" customFormat="false" ht="19.5" hidden="false" customHeight="true" outlineLevel="0" collapsed="false"/>
    <row r="37" customFormat="false" ht="15" hidden="false" customHeight="true" outlineLevel="0" collapsed="false"/>
  </sheetData>
  <mergeCells count="10">
    <mergeCell ref="A1:E1"/>
    <mergeCell ref="A2:E2"/>
    <mergeCell ref="A5:E5"/>
    <mergeCell ref="A10:E10"/>
    <mergeCell ref="A13:E13"/>
    <mergeCell ref="A17:E17"/>
    <mergeCell ref="A22:E22"/>
    <mergeCell ref="A26:E26"/>
    <mergeCell ref="A31:C31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B13" activeCellId="0" sqref="B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8"/>
    <col collapsed="false" customWidth="true" hidden="false" outlineLevel="0" max="3" min="3" style="1" width="28"/>
    <col collapsed="false" customWidth="true" hidden="false" outlineLevel="0" max="5" min="4" style="1" width="20"/>
  </cols>
  <sheetData>
    <row r="1" customFormat="false" ht="30" hidden="false" customHeight="true" outlineLevel="0" collapsed="false">
      <c r="A1" s="21" t="s">
        <v>76</v>
      </c>
      <c r="B1" s="21"/>
      <c r="C1" s="21"/>
      <c r="D1" s="21"/>
      <c r="E1" s="21"/>
    </row>
    <row r="2" customFormat="false" ht="15" hidden="false" customHeight="true" outlineLevel="0" collapsed="false">
      <c r="A2" s="22" t="s">
        <v>77</v>
      </c>
      <c r="B2" s="22"/>
      <c r="C2" s="22"/>
      <c r="D2" s="22"/>
      <c r="E2" s="22"/>
    </row>
    <row r="3" customFormat="false" ht="7.5" hidden="false" customHeight="true" outlineLevel="0" collapsed="false"/>
    <row r="4" customFormat="false" ht="18" hidden="false" customHeight="true" outlineLevel="0" collapsed="false">
      <c r="A4" s="5" t="s">
        <v>78</v>
      </c>
      <c r="B4" s="5" t="s">
        <v>79</v>
      </c>
      <c r="C4" s="5" t="s">
        <v>80</v>
      </c>
      <c r="D4" s="5" t="s">
        <v>81</v>
      </c>
      <c r="E4" s="5" t="s">
        <v>82</v>
      </c>
    </row>
    <row r="5" customFormat="false" ht="16.5" hidden="false" customHeight="true" outlineLevel="0" collapsed="false">
      <c r="A5" s="23" t="s">
        <v>83</v>
      </c>
      <c r="B5" s="7" t="s">
        <v>84</v>
      </c>
      <c r="C5" s="7" t="s">
        <v>85</v>
      </c>
      <c r="D5" s="24" t="n">
        <v>57992</v>
      </c>
      <c r="E5" s="25" t="n">
        <v>57.6166849144672</v>
      </c>
    </row>
    <row r="6" customFormat="false" ht="16.5" hidden="false" customHeight="true" outlineLevel="0" collapsed="false">
      <c r="A6" s="26" t="s">
        <v>86</v>
      </c>
      <c r="B6" s="11" t="s">
        <v>87</v>
      </c>
      <c r="C6" s="11" t="s">
        <v>88</v>
      </c>
      <c r="D6" s="27" t="n">
        <v>2132</v>
      </c>
      <c r="E6" s="28" t="n">
        <v>2.11820203196379</v>
      </c>
    </row>
    <row r="7" customFormat="false" ht="16.5" hidden="false" customHeight="true" outlineLevel="0" collapsed="false">
      <c r="A7" s="23" t="s">
        <v>89</v>
      </c>
      <c r="B7" s="7" t="s">
        <v>90</v>
      </c>
      <c r="C7" s="7" t="s">
        <v>91</v>
      </c>
      <c r="D7" s="24" t="n">
        <v>1058</v>
      </c>
      <c r="E7" s="25" t="n">
        <v>1.05115279072124</v>
      </c>
    </row>
    <row r="8" customFormat="false" ht="16.5" hidden="false" customHeight="true" outlineLevel="0" collapsed="false">
      <c r="A8" s="26" t="s">
        <v>92</v>
      </c>
      <c r="B8" s="11" t="s">
        <v>93</v>
      </c>
      <c r="C8" s="11" t="s">
        <v>94</v>
      </c>
      <c r="D8" s="27" t="n">
        <v>32269.4</v>
      </c>
      <c r="E8" s="28" t="n">
        <v>32.0605575282609</v>
      </c>
    </row>
    <row r="9" customFormat="false" ht="16.5" hidden="false" customHeight="true" outlineLevel="0" collapsed="false">
      <c r="A9" s="23" t="s">
        <v>95</v>
      </c>
      <c r="B9" s="7" t="s">
        <v>96</v>
      </c>
      <c r="C9" s="7" t="s">
        <v>97</v>
      </c>
      <c r="D9" s="24" t="n">
        <v>7200</v>
      </c>
      <c r="E9" s="25" t="n">
        <v>7.1534027345869</v>
      </c>
    </row>
    <row r="10" customFormat="false" ht="7.5" hidden="false" customHeight="true" outlineLevel="0" collapsed="false"/>
    <row r="11" customFormat="false" ht="25.5" hidden="false" customHeight="true" outlineLevel="0" collapsed="false">
      <c r="A11" s="29" t="s">
        <v>98</v>
      </c>
      <c r="B11" s="29"/>
      <c r="C11" s="29"/>
      <c r="D11" s="30" t="n">
        <v>100651.4</v>
      </c>
      <c r="E11" s="31" t="n">
        <v>100</v>
      </c>
    </row>
    <row r="12" customFormat="false" ht="16.5" hidden="false" customHeight="true" outlineLevel="0" collapsed="false"/>
    <row r="13" customFormat="false" ht="12.75" hidden="false" customHeight="true" outlineLevel="0" collapsed="false">
      <c r="A13" s="32" t="s">
        <v>99</v>
      </c>
      <c r="B13" s="32"/>
      <c r="C13" s="32"/>
      <c r="D13" s="32"/>
      <c r="E13" s="32"/>
    </row>
    <row r="14" customFormat="false" ht="15.75" hidden="false" customHeight="true" outlineLevel="0" collapsed="false">
      <c r="A14" s="33" t="s">
        <v>100</v>
      </c>
      <c r="B14" s="33" t="s">
        <v>101</v>
      </c>
      <c r="C14" s="33" t="s">
        <v>102</v>
      </c>
      <c r="D14" s="33" t="s">
        <v>103</v>
      </c>
      <c r="E14" s="33" t="s">
        <v>104</v>
      </c>
    </row>
    <row r="15" customFormat="false" ht="19.5" hidden="false" customHeight="true" outlineLevel="0" collapsed="false">
      <c r="A15" s="34" t="s">
        <v>105</v>
      </c>
      <c r="B15" s="34" t="s">
        <v>106</v>
      </c>
      <c r="C15" s="34" t="s">
        <v>107</v>
      </c>
      <c r="D15" s="34" t="s">
        <v>108</v>
      </c>
      <c r="E15" s="34" t="s">
        <v>109</v>
      </c>
    </row>
    <row r="17" customFormat="false" ht="12.75" hidden="false" customHeight="true" outlineLevel="0" collapsed="false">
      <c r="A17" s="32" t="s">
        <v>110</v>
      </c>
      <c r="B17" s="32"/>
      <c r="C17" s="32"/>
      <c r="D17" s="32"/>
      <c r="E17" s="32"/>
    </row>
    <row r="18" customFormat="false" ht="15.75" hidden="false" customHeight="true" outlineLevel="0" collapsed="false">
      <c r="A18" s="35" t="s">
        <v>111</v>
      </c>
      <c r="B18" s="35"/>
      <c r="C18" s="36" t="s">
        <v>112</v>
      </c>
      <c r="D18" s="24" t="n">
        <v>57992</v>
      </c>
      <c r="E18" s="37" t="n">
        <v>0.576166849144672</v>
      </c>
    </row>
    <row r="19" customFormat="false" ht="15.75" hidden="false" customHeight="true" outlineLevel="0" collapsed="false">
      <c r="A19" s="38" t="s">
        <v>113</v>
      </c>
      <c r="B19" s="38"/>
      <c r="C19" s="39" t="s">
        <v>114</v>
      </c>
      <c r="D19" s="27" t="n">
        <v>2132</v>
      </c>
      <c r="E19" s="40" t="n">
        <v>0.0211820203196379</v>
      </c>
    </row>
    <row r="20" customFormat="false" ht="15.75" hidden="false" customHeight="true" outlineLevel="0" collapsed="false">
      <c r="A20" s="35" t="s">
        <v>115</v>
      </c>
      <c r="B20" s="35"/>
      <c r="C20" s="41" t="s">
        <v>116</v>
      </c>
      <c r="D20" s="24" t="n">
        <v>1058</v>
      </c>
      <c r="E20" s="37" t="n">
        <v>0.0105115279072124</v>
      </c>
    </row>
    <row r="21" customFormat="false" ht="15.75" hidden="false" customHeight="true" outlineLevel="0" collapsed="false">
      <c r="A21" s="38" t="s">
        <v>117</v>
      </c>
      <c r="B21" s="38"/>
      <c r="C21" s="42" t="s">
        <v>118</v>
      </c>
      <c r="D21" s="27" t="n">
        <v>32269.4</v>
      </c>
      <c r="E21" s="40" t="n">
        <v>0.320605575282609</v>
      </c>
    </row>
    <row r="22" customFormat="false" ht="15.75" hidden="false" customHeight="true" outlineLevel="0" collapsed="false">
      <c r="A22" s="35" t="s">
        <v>119</v>
      </c>
      <c r="B22" s="35"/>
      <c r="C22" s="43" t="s">
        <v>120</v>
      </c>
      <c r="D22" s="24" t="n">
        <v>7200</v>
      </c>
      <c r="E22" s="37" t="n">
        <v>0.071534027345869</v>
      </c>
    </row>
    <row r="23" customFormat="false" ht="16.5" hidden="false" customHeight="true" outlineLevel="0" collapsed="false"/>
    <row r="24" customFormat="false" ht="16.5" hidden="false" customHeight="true" outlineLevel="0" collapsed="false">
      <c r="A24" s="44" t="s">
        <v>121</v>
      </c>
      <c r="B24" s="44"/>
      <c r="C24" s="44"/>
      <c r="D24" s="44"/>
      <c r="E24" s="44"/>
    </row>
    <row r="25" customFormat="false" ht="16.5" hidden="false" customHeight="true" outlineLevel="0" collapsed="false"/>
    <row r="26" customFormat="false" ht="16.5" hidden="false" customHeight="true" outlineLevel="0" collapsed="false"/>
    <row r="28" customFormat="false" ht="15" hidden="false" customHeight="true" outlineLevel="0" collapsed="false"/>
  </sheetData>
  <mergeCells count="11">
    <mergeCell ref="A1:E1"/>
    <mergeCell ref="A2:E2"/>
    <mergeCell ref="A11:C11"/>
    <mergeCell ref="A13:E13"/>
    <mergeCell ref="A17:E17"/>
    <mergeCell ref="A18:B18"/>
    <mergeCell ref="A19:B19"/>
    <mergeCell ref="A20:B20"/>
    <mergeCell ref="A21:B21"/>
    <mergeCell ref="A22:B22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2026-01-19T20:39:54Z</dcterms:created>
  <dc:creator>openpyxl</dc:creator>
  <dc:description/>
  <dc:language>en-US</dc:language>
  <cp:lastModifiedBy>Fatec</cp:lastModifiedBy>
  <dcterms:modified xsi:type="dcterms:W3CDTF">2026-03-15T21:25:48Z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